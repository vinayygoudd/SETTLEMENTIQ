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_Panel" sheetId="1" state="visible" r:id="rId2"/>
    <sheet name="Executive_Dashboard" sheetId="2" state="visible" r:id="rId3"/>
    <sheet name="Transactions" sheetId="3" state="visible" r:id="rId4"/>
    <sheet name="Settlements" sheetId="4" state="visible" r:id="rId5"/>
    <sheet name="Bank_Entries" sheetId="5" state="visible" r:id="rId6"/>
    <sheet name="Refunds" sheetId="6" state="visible" r:id="rId7"/>
    <sheet name="Merchants" sheetId="7" state="visible" r:id="rId8"/>
    <sheet name="Data_Quality" sheetId="8" state="visible" r:id="rId9"/>
    <sheet name="Reconciliation" sheetId="9" state="visible" r:id="rId10"/>
    <sheet name="Exception_Register" sheetId="10" state="visible" r:id="rId11"/>
    <sheet name="KPI_Results" sheetId="11" state="visible" r:id="rId12"/>
    <sheet name="Summary" sheetId="12" state="visible" r:id="rId13"/>
    <sheet name="Run_Log" sheetId="13" state="visible" r:id="rId14"/>
    <sheet name="Config" sheetId="14" state="visible" r:id="rId15"/>
    <sheet name="Data_Dictionary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<sst xmlns="http://schemas.openxmlformats.org/spreadsheetml/2006/main" count="8435" uniqueCount="2989">
  <si>
    <t xml:space="preserve">Control Parameter</t>
  </si>
  <si>
    <t xml:space="preserve">Configured Value / Status</t>
  </si>
  <si>
    <t xml:space="preserve">Operational Rule / Verification Evidence</t>
  </si>
  <si>
    <t xml:space="preserve">Layer Owner</t>
  </si>
  <si>
    <t xml:space="preserve">Status</t>
  </si>
  <si>
    <t xml:space="preserve">Audit Count</t>
  </si>
  <si>
    <t xml:space="preserve">Project Name &amp; Version</t>
  </si>
  <si>
    <t xml:space="preserve">SettlementIQ v1.0.0-SYNTHETIC-10K</t>
  </si>
  <si>
    <t xml:space="preserve">Deterministic FinTech Reconciliation Suite (Seed=42)</t>
  </si>
  <si>
    <t xml:space="preserve">System Governance</t>
  </si>
  <si>
    <t xml:space="preserve">ACTIVE</t>
  </si>
  <si>
    <t xml:space="preserve">Current Reporting Period</t>
  </si>
  <si>
    <t xml:space="preserve">2026-09-01 to 2026-10-25</t>
  </si>
  <si>
    <t xml:space="preserve">50-day synthetic transaction &amp; settlement window</t>
  </si>
  <si>
    <t xml:space="preserve">Finance Operations</t>
  </si>
  <si>
    <t xml:space="preserve">Selected Reconciliation Run ID</t>
  </si>
  <si>
    <t xml:space="preserve">RUN_20261025_001</t>
  </si>
  <si>
    <t xml:space="preserve">Authoritative SQL Engine Run (RULE_SET_2026_10_v1)</t>
  </si>
  <si>
    <t xml:space="preserve">PostgreSQL / SQLite</t>
  </si>
  <si>
    <t xml:space="preserve">COMPLETED</t>
  </si>
  <si>
    <t xml:space="preserve">Configured Amount Tolerance (R2)</t>
  </si>
  <si>
    <t xml:space="preserve">1.00 INR</t>
  </si>
  <si>
    <t xml:space="preserve">Project assumption for INR minor rounding variance only</t>
  </si>
  <si>
    <t xml:space="preserve">Config!B2</t>
  </si>
  <si>
    <t xml:space="preserve">APPROVED</t>
  </si>
  <si>
    <t xml:space="preserve">Configured SLA Window (R4)</t>
  </si>
  <si>
    <t xml:space="preserve">2 Business Days (Mon-Fri)</t>
  </si>
  <si>
    <t xml:space="preserve">Standard T+1 / T+2 settlement window threshold</t>
  </si>
  <si>
    <t xml:space="preserve">Config!B3</t>
  </si>
  <si>
    <t xml:space="preserve">Currency Governance Policy</t>
  </si>
  <si>
    <t xml:space="preserve">INR Single-Currency Policy</t>
  </si>
  <si>
    <t xml:space="preserve">8 foreign currency rows (4 USD, 4 EUR) quarantined at staging</t>
  </si>
  <si>
    <t xml:space="preserve">Data_Quality</t>
  </si>
  <si>
    <t xml:space="preserve">PASS</t>
  </si>
  <si>
    <t xml:space="preserve">Source Record Verification</t>
  </si>
  <si>
    <t xml:space="preserve">9,955 Txns | 10,090 Stls | 10,070 Bank | 250 Refunds</t>
  </si>
  <si>
    <t xml:space="preserve">45 quarantined + 50 duplicate replay rows suppressed idempotently</t>
  </si>
  <si>
    <t xml:space="preserve">modValidation</t>
  </si>
  <si>
    <t xml:space="preserve">Financial Control-Total Status</t>
  </si>
  <si>
    <t xml:space="preserve">0.00 INR Unexplained Difference</t>
  </si>
  <si>
    <t xml:space="preserve">Raw INR Gross = Validated + Quarantined + Suppressed Replay</t>
  </si>
  <si>
    <t xml:space="preserve">financial_controls.csv</t>
  </si>
  <si>
    <t xml:space="preserve">Reconciliation Engine Status</t>
  </si>
  <si>
    <t xml:space="preserve">9,200 Matched (93.07%) | 800 Exceptions</t>
  </si>
  <si>
    <t xml:space="preserve">100.00% agreement with 10,000-case isolated ground truth</t>
  </si>
  <si>
    <t xml:space="preserve">Reconciliation</t>
  </si>
  <si>
    <t xml:space="preserve">VBA Macro Integration Status</t>
  </si>
  <si>
    <t xml:space="preserve">8 Source Modules (.bas) Delivered in excel/vba_source/</t>
  </si>
  <si>
    <t xml:space="preserve">Requires Desktop Microsoft Excel on Windows/macOS to run VBA</t>
  </si>
  <si>
    <t xml:space="preserve">excel/vba_source/</t>
  </si>
  <si>
    <t xml:space="preserve">PENDING</t>
  </si>
  <si>
    <t xml:space="preserve">Exception Category</t>
  </si>
  <si>
    <t xml:space="preserve">Applied Rule</t>
  </si>
  <si>
    <t xml:space="preserve">Total Exceptions</t>
  </si>
  <si>
    <t xml:space="preserve">Unresolved Count</t>
  </si>
  <si>
    <t xml:space="preserve">Resolved Count</t>
  </si>
  <si>
    <t xml:space="preserve">Expected Net (INR)</t>
  </si>
  <si>
    <t xml:space="preserve">Observed Net (INR)</t>
  </si>
  <si>
    <t xml:space="preserve">Unresolved Exposure (INR)</t>
  </si>
  <si>
    <t xml:space="preserve">Exposure Share [Auto]</t>
  </si>
  <si>
    <t xml:space="preserve">MISSING_SETTLEMENT</t>
  </si>
  <si>
    <t xml:space="preserve">R7_MISSING</t>
  </si>
  <si>
    <t xml:space="preserve">MISSING_LEDGER</t>
  </si>
  <si>
    <t xml:space="preserve">DUPLICATE_CONFIRMED</t>
  </si>
  <si>
    <t xml:space="preserve">R6_DUPLICATE</t>
  </si>
  <si>
    <t xml:space="preserve">PARTIALLY_SETTLED</t>
  </si>
  <si>
    <t xml:space="preserve">R5_PARTIAL</t>
  </si>
  <si>
    <t xml:space="preserve">AMBIGUOUS_MATCH</t>
  </si>
  <si>
    <t xml:space="preserve">R8_AMBIGUOUS</t>
  </si>
  <si>
    <t xml:space="preserve">MISSING_BANK_ENTRY</t>
  </si>
  <si>
    <t xml:space="preserve">MALFORMED_AMOUNT</t>
  </si>
  <si>
    <t xml:space="preserve">DQ_VALIDATION</t>
  </si>
  <si>
    <t xml:space="preserve">INVALID_CURRENCY</t>
  </si>
  <si>
    <t xml:space="preserve">MISSING_MANDATORY_FIELD</t>
  </si>
  <si>
    <t xml:space="preserve">MISSING_DATE</t>
  </si>
  <si>
    <t xml:space="preserve">INVALID_IDENTIFIER</t>
  </si>
  <si>
    <t xml:space="preserve">UNREVERSED_REFUND</t>
  </si>
  <si>
    <t xml:space="preserve">R9_REFUND</t>
  </si>
  <si>
    <t xml:space="preserve">REFUND_MISMATCH</t>
  </si>
  <si>
    <t xml:space="preserve">MISSING_REFUND_EVIDENCE</t>
  </si>
  <si>
    <t xml:space="preserve">DUPLICATE_CANDIDATE</t>
  </si>
  <si>
    <t xml:space="preserve">MANUAL_REVIEW</t>
  </si>
  <si>
    <t xml:space="preserve">LATE_SETTLEMENT</t>
  </si>
  <si>
    <t xml:space="preserve">R4_TIMING</t>
  </si>
  <si>
    <t xml:space="preserve">TIMING_EXCEPTION</t>
  </si>
  <si>
    <t xml:space="preserve">Total</t>
  </si>
  <si>
    <t xml:space="preserve">ALL</t>
  </si>
  <si>
    <t xml:space="preserve">Transaction ID</t>
  </si>
  <si>
    <t xml:space="preserve">Customer ID</t>
  </si>
  <si>
    <t xml:space="preserve">Merchant ID</t>
  </si>
  <si>
    <t xml:space="preserve">Payment Reference</t>
  </si>
  <si>
    <t xml:space="preserve">Transaction Date</t>
  </si>
  <si>
    <t xml:space="preserve">Currency</t>
  </si>
  <si>
    <t xml:space="preserve">Gross Amount</t>
  </si>
  <si>
    <t xml:space="preserve">Transaction Fee</t>
  </si>
  <si>
    <t xml:space="preserve">Expected Net Amount</t>
  </si>
  <si>
    <t xml:space="preserve">Fee Check [Auto]</t>
  </si>
  <si>
    <t xml:space="preserve">TXN_2026_000001</t>
  </si>
  <si>
    <t xml:space="preserve">CUST_10018</t>
  </si>
  <si>
    <t xml:space="preserve">MERCH_1001</t>
  </si>
  <si>
    <t xml:space="preserve">PAYREF_202600001</t>
  </si>
  <si>
    <t xml:space="preserve">2026-09-01</t>
  </si>
  <si>
    <t xml:space="preserve">INR</t>
  </si>
  <si>
    <t xml:space="preserve">TXN_2026_000002</t>
  </si>
  <si>
    <t xml:space="preserve">CUST_10035</t>
  </si>
  <si>
    <t xml:space="preserve">MERCH_1002</t>
  </si>
  <si>
    <t xml:space="preserve">PAYREF_202600002</t>
  </si>
  <si>
    <t xml:space="preserve">2026-09-02</t>
  </si>
  <si>
    <t xml:space="preserve">TXN_2026_000003</t>
  </si>
  <si>
    <t xml:space="preserve">CUST_10052</t>
  </si>
  <si>
    <t xml:space="preserve">MERCH_1003</t>
  </si>
  <si>
    <t xml:space="preserve">PAYREF_202600003</t>
  </si>
  <si>
    <t xml:space="preserve">2026-09-03</t>
  </si>
  <si>
    <t xml:space="preserve">TXN_2026_000004</t>
  </si>
  <si>
    <t xml:space="preserve">CUST_10069</t>
  </si>
  <si>
    <t xml:space="preserve">MERCH_1004</t>
  </si>
  <si>
    <t xml:space="preserve">PAYREF_202600004</t>
  </si>
  <si>
    <t xml:space="preserve">2026-09-04</t>
  </si>
  <si>
    <t xml:space="preserve">TXN_2026_000005</t>
  </si>
  <si>
    <t xml:space="preserve">CUST_10086</t>
  </si>
  <si>
    <t xml:space="preserve">MERCH_1005</t>
  </si>
  <si>
    <t xml:space="preserve">PAYREF_202600005</t>
  </si>
  <si>
    <t xml:space="preserve">2026-09-05</t>
  </si>
  <si>
    <t xml:space="preserve">TXN_2026_000006</t>
  </si>
  <si>
    <t xml:space="preserve">CUST_10103</t>
  </si>
  <si>
    <t xml:space="preserve">MERCH_1006</t>
  </si>
  <si>
    <t xml:space="preserve">PAYREF_202600006</t>
  </si>
  <si>
    <t xml:space="preserve">2026-09-06</t>
  </si>
  <si>
    <t xml:space="preserve">TXN_2026_000007</t>
  </si>
  <si>
    <t xml:space="preserve">CUST_10120</t>
  </si>
  <si>
    <t xml:space="preserve">MERCH_1007</t>
  </si>
  <si>
    <t xml:space="preserve">PAYREF_202600007</t>
  </si>
  <si>
    <t xml:space="preserve">2026-09-07</t>
  </si>
  <si>
    <t xml:space="preserve">TXN_2026_000008</t>
  </si>
  <si>
    <t xml:space="preserve">CUST_10137</t>
  </si>
  <si>
    <t xml:space="preserve">MERCH_1008</t>
  </si>
  <si>
    <t xml:space="preserve">PAYREF_202600008</t>
  </si>
  <si>
    <t xml:space="preserve">2026-09-08</t>
  </si>
  <si>
    <t xml:space="preserve">TXN_2026_000009</t>
  </si>
  <si>
    <t xml:space="preserve">CUST_10154</t>
  </si>
  <si>
    <t xml:space="preserve">MERCH_1009</t>
  </si>
  <si>
    <t xml:space="preserve">PAYREF_202600009</t>
  </si>
  <si>
    <t xml:space="preserve">2026-09-09</t>
  </si>
  <si>
    <t xml:space="preserve">TXN_2026_000010</t>
  </si>
  <si>
    <t xml:space="preserve">CUST_10171</t>
  </si>
  <si>
    <t xml:space="preserve">MERCH_1010</t>
  </si>
  <si>
    <t xml:space="preserve">PAYREF_202600010</t>
  </si>
  <si>
    <t xml:space="preserve">2026-09-10</t>
  </si>
  <si>
    <t xml:space="preserve">TXN_2026_000011</t>
  </si>
  <si>
    <t xml:space="preserve">CUST_10188</t>
  </si>
  <si>
    <t xml:space="preserve">MERCH_1011</t>
  </si>
  <si>
    <t xml:space="preserve">PAYREF_202600011</t>
  </si>
  <si>
    <t xml:space="preserve">2026-09-11</t>
  </si>
  <si>
    <t xml:space="preserve">TXN_2026_000012</t>
  </si>
  <si>
    <t xml:space="preserve">CUST_10205</t>
  </si>
  <si>
    <t xml:space="preserve">MERCH_1012</t>
  </si>
  <si>
    <t xml:space="preserve">PAYREF_202600012</t>
  </si>
  <si>
    <t xml:space="preserve">2026-09-12</t>
  </si>
  <si>
    <t xml:space="preserve">TXN_2026_000013</t>
  </si>
  <si>
    <t xml:space="preserve">CUST_10222</t>
  </si>
  <si>
    <t xml:space="preserve">MERCH_1013</t>
  </si>
  <si>
    <t xml:space="preserve">PAYREF_202600013</t>
  </si>
  <si>
    <t xml:space="preserve">2026-09-13</t>
  </si>
  <si>
    <t xml:space="preserve">TXN_2026_000014</t>
  </si>
  <si>
    <t xml:space="preserve">CUST_10239</t>
  </si>
  <si>
    <t xml:space="preserve">MERCH_1014</t>
  </si>
  <si>
    <t xml:space="preserve">PAYREF_202600014</t>
  </si>
  <si>
    <t xml:space="preserve">2026-09-14</t>
  </si>
  <si>
    <t xml:space="preserve">TXN_2026_000015</t>
  </si>
  <si>
    <t xml:space="preserve">CUST_10256</t>
  </si>
  <si>
    <t xml:space="preserve">MERCH_1015</t>
  </si>
  <si>
    <t xml:space="preserve">PAYREF_202600015</t>
  </si>
  <si>
    <t xml:space="preserve">2026-09-15</t>
  </si>
  <si>
    <t xml:space="preserve">TXN_2026_000016</t>
  </si>
  <si>
    <t xml:space="preserve">CUST_10273</t>
  </si>
  <si>
    <t xml:space="preserve">MERCH_1016</t>
  </si>
  <si>
    <t xml:space="preserve">PAYREF_202600016</t>
  </si>
  <si>
    <t xml:space="preserve">2026-09-16</t>
  </si>
  <si>
    <t xml:space="preserve">TXN_2026_000017</t>
  </si>
  <si>
    <t xml:space="preserve">CUST_10290</t>
  </si>
  <si>
    <t xml:space="preserve">MERCH_1017</t>
  </si>
  <si>
    <t xml:space="preserve">PAYREF_202600017</t>
  </si>
  <si>
    <t xml:space="preserve">2026-09-17</t>
  </si>
  <si>
    <t xml:space="preserve">TXN_2026_000018</t>
  </si>
  <si>
    <t xml:space="preserve">CUST_10307</t>
  </si>
  <si>
    <t xml:space="preserve">MERCH_1018</t>
  </si>
  <si>
    <t xml:space="preserve">PAYREF_202600018</t>
  </si>
  <si>
    <t xml:space="preserve">2026-09-18</t>
  </si>
  <si>
    <t xml:space="preserve">TXN_2026_000019</t>
  </si>
  <si>
    <t xml:space="preserve">CUST_10324</t>
  </si>
  <si>
    <t xml:space="preserve">MERCH_1019</t>
  </si>
  <si>
    <t xml:space="preserve">PAYREF_202600019</t>
  </si>
  <si>
    <t xml:space="preserve">2026-09-19</t>
  </si>
  <si>
    <t xml:space="preserve">TXN_2026_000020</t>
  </si>
  <si>
    <t xml:space="preserve">CUST_10341</t>
  </si>
  <si>
    <t xml:space="preserve">MERCH_1020</t>
  </si>
  <si>
    <t xml:space="preserve">PAYREF_202600020</t>
  </si>
  <si>
    <t xml:space="preserve">2026-09-20</t>
  </si>
  <si>
    <t xml:space="preserve">TXN_2026_000021</t>
  </si>
  <si>
    <t xml:space="preserve">CUST_10358</t>
  </si>
  <si>
    <t xml:space="preserve">MERCH_1021</t>
  </si>
  <si>
    <t xml:space="preserve">PAYREF_202600021</t>
  </si>
  <si>
    <t xml:space="preserve">2026-09-21</t>
  </si>
  <si>
    <t xml:space="preserve">TXN_2026_000022</t>
  </si>
  <si>
    <t xml:space="preserve">CUST_10375</t>
  </si>
  <si>
    <t xml:space="preserve">MERCH_1022</t>
  </si>
  <si>
    <t xml:space="preserve">PAYREF_202600022</t>
  </si>
  <si>
    <t xml:space="preserve">2026-09-22</t>
  </si>
  <si>
    <t xml:space="preserve">TXN_2026_000023</t>
  </si>
  <si>
    <t xml:space="preserve">CUST_10392</t>
  </si>
  <si>
    <t xml:space="preserve">MERCH_1023</t>
  </si>
  <si>
    <t xml:space="preserve">PAYREF_202600023</t>
  </si>
  <si>
    <t xml:space="preserve">2026-09-23</t>
  </si>
  <si>
    <t xml:space="preserve">TXN_2026_000024</t>
  </si>
  <si>
    <t xml:space="preserve">CUST_10409</t>
  </si>
  <si>
    <t xml:space="preserve">MERCH_1024</t>
  </si>
  <si>
    <t xml:space="preserve">PAYREF_202600024</t>
  </si>
  <si>
    <t xml:space="preserve">2026-09-24</t>
  </si>
  <si>
    <t xml:space="preserve">TXN_2026_000025</t>
  </si>
  <si>
    <t xml:space="preserve">CUST_10426</t>
  </si>
  <si>
    <t xml:space="preserve">MERCH_1025</t>
  </si>
  <si>
    <t xml:space="preserve">PAYREF_202600025</t>
  </si>
  <si>
    <t xml:space="preserve">2026-09-25</t>
  </si>
  <si>
    <t xml:space="preserve">TXN_2026_000026</t>
  </si>
  <si>
    <t xml:space="preserve">CUST_10443</t>
  </si>
  <si>
    <t xml:space="preserve">PAYREF_202600026</t>
  </si>
  <si>
    <t xml:space="preserve">2026-09-26</t>
  </si>
  <si>
    <t xml:space="preserve">TXN_2026_000027</t>
  </si>
  <si>
    <t xml:space="preserve">CUST_10460</t>
  </si>
  <si>
    <t xml:space="preserve">PAYREF_202600027</t>
  </si>
  <si>
    <t xml:space="preserve">2026-09-27</t>
  </si>
  <si>
    <t xml:space="preserve">TXN_2026_000028</t>
  </si>
  <si>
    <t xml:space="preserve">CUST_10477</t>
  </si>
  <si>
    <t xml:space="preserve">PAYREF_202600028</t>
  </si>
  <si>
    <t xml:space="preserve">2026-09-28</t>
  </si>
  <si>
    <t xml:space="preserve">TXN_2026_000029</t>
  </si>
  <si>
    <t xml:space="preserve">CUST_10494</t>
  </si>
  <si>
    <t xml:space="preserve">PAYREF_202600029</t>
  </si>
  <si>
    <t xml:space="preserve">2026-09-29</t>
  </si>
  <si>
    <t xml:space="preserve">TXN_2026_000030</t>
  </si>
  <si>
    <t xml:space="preserve">CUST_10511</t>
  </si>
  <si>
    <t xml:space="preserve">PAYREF_202600030</t>
  </si>
  <si>
    <t xml:space="preserve">2026-09-30</t>
  </si>
  <si>
    <t xml:space="preserve">TXN_2026_000031</t>
  </si>
  <si>
    <t xml:space="preserve">CUST_10528</t>
  </si>
  <si>
    <t xml:space="preserve">PAYREF_202600031</t>
  </si>
  <si>
    <t xml:space="preserve">2026-10-01</t>
  </si>
  <si>
    <t xml:space="preserve">TXN_2026_000032</t>
  </si>
  <si>
    <t xml:space="preserve">CUST_10545</t>
  </si>
  <si>
    <t xml:space="preserve">PAYREF_202600032</t>
  </si>
  <si>
    <t xml:space="preserve">2026-10-02</t>
  </si>
  <si>
    <t xml:space="preserve">TXN_2026_000033</t>
  </si>
  <si>
    <t xml:space="preserve">CUST_10562</t>
  </si>
  <si>
    <t xml:space="preserve">PAYREF_202600033</t>
  </si>
  <si>
    <t xml:space="preserve">2026-10-03</t>
  </si>
  <si>
    <t xml:space="preserve">TXN_2026_000034</t>
  </si>
  <si>
    <t xml:space="preserve">CUST_10579</t>
  </si>
  <si>
    <t xml:space="preserve">PAYREF_202600034</t>
  </si>
  <si>
    <t xml:space="preserve">2026-10-04</t>
  </si>
  <si>
    <t xml:space="preserve">TXN_2026_000035</t>
  </si>
  <si>
    <t xml:space="preserve">CUST_10596</t>
  </si>
  <si>
    <t xml:space="preserve">PAYREF_202600035</t>
  </si>
  <si>
    <t xml:space="preserve">2026-10-05</t>
  </si>
  <si>
    <t xml:space="preserve">TXN_2026_000036</t>
  </si>
  <si>
    <t xml:space="preserve">CUST_10613</t>
  </si>
  <si>
    <t xml:space="preserve">PAYREF_202600036</t>
  </si>
  <si>
    <t xml:space="preserve">2026-10-06</t>
  </si>
  <si>
    <t xml:space="preserve">TXN_2026_000037</t>
  </si>
  <si>
    <t xml:space="preserve">CUST_10630</t>
  </si>
  <si>
    <t xml:space="preserve">PAYREF_202600037</t>
  </si>
  <si>
    <t xml:space="preserve">2026-10-07</t>
  </si>
  <si>
    <t xml:space="preserve">TXN_2026_000038</t>
  </si>
  <si>
    <t xml:space="preserve">CUST_10647</t>
  </si>
  <si>
    <t xml:space="preserve">PAYREF_202600038</t>
  </si>
  <si>
    <t xml:space="preserve">2026-10-08</t>
  </si>
  <si>
    <t xml:space="preserve">TXN_2026_000039</t>
  </si>
  <si>
    <t xml:space="preserve">CUST_10664</t>
  </si>
  <si>
    <t xml:space="preserve">PAYREF_202600039</t>
  </si>
  <si>
    <t xml:space="preserve">2026-10-09</t>
  </si>
  <si>
    <t xml:space="preserve">TXN_2026_000040</t>
  </si>
  <si>
    <t xml:space="preserve">CUST_10681</t>
  </si>
  <si>
    <t xml:space="preserve">PAYREF_202600040</t>
  </si>
  <si>
    <t xml:space="preserve">2026-10-10</t>
  </si>
  <si>
    <t xml:space="preserve">TXN_2026_000041</t>
  </si>
  <si>
    <t xml:space="preserve">CUST_10698</t>
  </si>
  <si>
    <t xml:space="preserve">PAYREF_202600041</t>
  </si>
  <si>
    <t xml:space="preserve">2026-10-11</t>
  </si>
  <si>
    <t xml:space="preserve">TXN_2026_000042</t>
  </si>
  <si>
    <t xml:space="preserve">CUST_10715</t>
  </si>
  <si>
    <t xml:space="preserve">PAYREF_202600042</t>
  </si>
  <si>
    <t xml:space="preserve">2026-10-12</t>
  </si>
  <si>
    <t xml:space="preserve">TXN_2026_000043</t>
  </si>
  <si>
    <t xml:space="preserve">CUST_10732</t>
  </si>
  <si>
    <t xml:space="preserve">PAYREF_202600043</t>
  </si>
  <si>
    <t xml:space="preserve">2026-10-13</t>
  </si>
  <si>
    <t xml:space="preserve">TXN_2026_000044</t>
  </si>
  <si>
    <t xml:space="preserve">CUST_10749</t>
  </si>
  <si>
    <t xml:space="preserve">PAYREF_202600044</t>
  </si>
  <si>
    <t xml:space="preserve">2026-10-14</t>
  </si>
  <si>
    <t xml:space="preserve">TXN_2026_000045</t>
  </si>
  <si>
    <t xml:space="preserve">CUST_10766</t>
  </si>
  <si>
    <t xml:space="preserve">PAYREF_202600045</t>
  </si>
  <si>
    <t xml:space="preserve">2026-10-15</t>
  </si>
  <si>
    <t xml:space="preserve">TXN_2026_000046</t>
  </si>
  <si>
    <t xml:space="preserve">CUST_10783</t>
  </si>
  <si>
    <t xml:space="preserve">PAYREF_202600046</t>
  </si>
  <si>
    <t xml:space="preserve">2026-10-16</t>
  </si>
  <si>
    <t xml:space="preserve">TXN_2026_000047</t>
  </si>
  <si>
    <t xml:space="preserve">CUST_10800</t>
  </si>
  <si>
    <t xml:space="preserve">PAYREF_202600047</t>
  </si>
  <si>
    <t xml:space="preserve">2026-10-17</t>
  </si>
  <si>
    <t xml:space="preserve">TXN_2026_000048</t>
  </si>
  <si>
    <t xml:space="preserve">CUST_10817</t>
  </si>
  <si>
    <t xml:space="preserve">PAYREF_202600048</t>
  </si>
  <si>
    <t xml:space="preserve">2026-10-18</t>
  </si>
  <si>
    <t xml:space="preserve">TXN_2026_000049</t>
  </si>
  <si>
    <t xml:space="preserve">CUST_10834</t>
  </si>
  <si>
    <t xml:space="preserve">PAYREF_202600049</t>
  </si>
  <si>
    <t xml:space="preserve">2026-10-19</t>
  </si>
  <si>
    <t xml:space="preserve">TXN_2026_000050</t>
  </si>
  <si>
    <t xml:space="preserve">CUST_10851</t>
  </si>
  <si>
    <t xml:space="preserve">PAYREF_202600050</t>
  </si>
  <si>
    <t xml:space="preserve">2026-10-20</t>
  </si>
  <si>
    <t xml:space="preserve">TXN_2026_000051</t>
  </si>
  <si>
    <t xml:space="preserve">CUST_10868</t>
  </si>
  <si>
    <t xml:space="preserve">PAYREF_202600051</t>
  </si>
  <si>
    <t xml:space="preserve">TXN_2026_000052</t>
  </si>
  <si>
    <t xml:space="preserve">CUST_10885</t>
  </si>
  <si>
    <t xml:space="preserve">PAYREF_202600052</t>
  </si>
  <si>
    <t xml:space="preserve">TXN_2026_000053</t>
  </si>
  <si>
    <t xml:space="preserve">CUST_10902</t>
  </si>
  <si>
    <t xml:space="preserve">PAYREF_202600053</t>
  </si>
  <si>
    <t xml:space="preserve">TXN_2026_000054</t>
  </si>
  <si>
    <t xml:space="preserve">CUST_10919</t>
  </si>
  <si>
    <t xml:space="preserve">PAYREF_202600054</t>
  </si>
  <si>
    <t xml:space="preserve">TXN_2026_000055</t>
  </si>
  <si>
    <t xml:space="preserve">CUST_10936</t>
  </si>
  <si>
    <t xml:space="preserve">PAYREF_202600055</t>
  </si>
  <si>
    <t xml:space="preserve">TXN_2026_000056</t>
  </si>
  <si>
    <t xml:space="preserve">CUST_10953</t>
  </si>
  <si>
    <t xml:space="preserve">PAYREF_202600056</t>
  </si>
  <si>
    <t xml:space="preserve">TXN_2026_000057</t>
  </si>
  <si>
    <t xml:space="preserve">CUST_10970</t>
  </si>
  <si>
    <t xml:space="preserve">PAYREF_202600057</t>
  </si>
  <si>
    <t xml:space="preserve">TXN_2026_000058</t>
  </si>
  <si>
    <t xml:space="preserve">CUST_10987</t>
  </si>
  <si>
    <t xml:space="preserve">PAYREF_202600058</t>
  </si>
  <si>
    <t xml:space="preserve">TXN_2026_000059</t>
  </si>
  <si>
    <t xml:space="preserve">CUST_11004</t>
  </si>
  <si>
    <t xml:space="preserve">PAYREF_202600059</t>
  </si>
  <si>
    <t xml:space="preserve">TXN_2026_000060</t>
  </si>
  <si>
    <t xml:space="preserve">CUST_11021</t>
  </si>
  <si>
    <t xml:space="preserve">PAYREF_202600060</t>
  </si>
  <si>
    <t xml:space="preserve">TXN_2026_000061</t>
  </si>
  <si>
    <t xml:space="preserve">CUST_11038</t>
  </si>
  <si>
    <t xml:space="preserve">PAYREF_202600061</t>
  </si>
  <si>
    <t xml:space="preserve">TXN_2026_000062</t>
  </si>
  <si>
    <t xml:space="preserve">CUST_11055</t>
  </si>
  <si>
    <t xml:space="preserve">PAYREF_202600062</t>
  </si>
  <si>
    <t xml:space="preserve">TXN_2026_000063</t>
  </si>
  <si>
    <t xml:space="preserve">CUST_11072</t>
  </si>
  <si>
    <t xml:space="preserve">PAYREF_202600063</t>
  </si>
  <si>
    <t xml:space="preserve">TXN_2026_000064</t>
  </si>
  <si>
    <t xml:space="preserve">CUST_11089</t>
  </si>
  <si>
    <t xml:space="preserve">PAYREF_202600064</t>
  </si>
  <si>
    <t xml:space="preserve">TXN_2026_000065</t>
  </si>
  <si>
    <t xml:space="preserve">CUST_11106</t>
  </si>
  <si>
    <t xml:space="preserve">PAYREF_202600065</t>
  </si>
  <si>
    <t xml:space="preserve">TXN_2026_000066</t>
  </si>
  <si>
    <t xml:space="preserve">CUST_11123</t>
  </si>
  <si>
    <t xml:space="preserve">PAYREF_202600066</t>
  </si>
  <si>
    <t xml:space="preserve">TXN_2026_000067</t>
  </si>
  <si>
    <t xml:space="preserve">CUST_11140</t>
  </si>
  <si>
    <t xml:space="preserve">PAYREF_202600067</t>
  </si>
  <si>
    <t xml:space="preserve">TXN_2026_000068</t>
  </si>
  <si>
    <t xml:space="preserve">CUST_11157</t>
  </si>
  <si>
    <t xml:space="preserve">PAYREF_202600068</t>
  </si>
  <si>
    <t xml:space="preserve">TXN_2026_000069</t>
  </si>
  <si>
    <t xml:space="preserve">CUST_11174</t>
  </si>
  <si>
    <t xml:space="preserve">PAYREF_202600069</t>
  </si>
  <si>
    <t xml:space="preserve">TXN_2026_000070</t>
  </si>
  <si>
    <t xml:space="preserve">CUST_11191</t>
  </si>
  <si>
    <t xml:space="preserve">PAYREF_202600070</t>
  </si>
  <si>
    <t xml:space="preserve">TXN_2026_000071</t>
  </si>
  <si>
    <t xml:space="preserve">CUST_11208</t>
  </si>
  <si>
    <t xml:space="preserve">PAYREF_202600071</t>
  </si>
  <si>
    <t xml:space="preserve">TXN_2026_000072</t>
  </si>
  <si>
    <t xml:space="preserve">CUST_11225</t>
  </si>
  <si>
    <t xml:space="preserve">PAYREF_202600072</t>
  </si>
  <si>
    <t xml:space="preserve">TXN_2026_000073</t>
  </si>
  <si>
    <t xml:space="preserve">CUST_11242</t>
  </si>
  <si>
    <t xml:space="preserve">PAYREF_202600073</t>
  </si>
  <si>
    <t xml:space="preserve">TXN_2026_000074</t>
  </si>
  <si>
    <t xml:space="preserve">CUST_11259</t>
  </si>
  <si>
    <t xml:space="preserve">PAYREF_202600074</t>
  </si>
  <si>
    <t xml:space="preserve">TXN_2026_000075</t>
  </si>
  <si>
    <t xml:space="preserve">CUST_11276</t>
  </si>
  <si>
    <t xml:space="preserve">PAYREF_202600075</t>
  </si>
  <si>
    <t xml:space="preserve">TXN_2026_000076</t>
  </si>
  <si>
    <t xml:space="preserve">CUST_11293</t>
  </si>
  <si>
    <t xml:space="preserve">PAYREF_202600076</t>
  </si>
  <si>
    <t xml:space="preserve">TXN_2026_000077</t>
  </si>
  <si>
    <t xml:space="preserve">CUST_11310</t>
  </si>
  <si>
    <t xml:space="preserve">PAYREF_202600077</t>
  </si>
  <si>
    <t xml:space="preserve">TXN_2026_000078</t>
  </si>
  <si>
    <t xml:space="preserve">CUST_11327</t>
  </si>
  <si>
    <t xml:space="preserve">PAYREF_202600078</t>
  </si>
  <si>
    <t xml:space="preserve">TXN_2026_000079</t>
  </si>
  <si>
    <t xml:space="preserve">CUST_11344</t>
  </si>
  <si>
    <t xml:space="preserve">PAYREF_202600079</t>
  </si>
  <si>
    <t xml:space="preserve">TXN_2026_000080</t>
  </si>
  <si>
    <t xml:space="preserve">CUST_11361</t>
  </si>
  <si>
    <t xml:space="preserve">PAYREF_202600080</t>
  </si>
  <si>
    <t xml:space="preserve">TXN_2026_000081</t>
  </si>
  <si>
    <t xml:space="preserve">CUST_11378</t>
  </si>
  <si>
    <t xml:space="preserve">PAYREF_202600081</t>
  </si>
  <si>
    <t xml:space="preserve">TXN_2026_000082</t>
  </si>
  <si>
    <t xml:space="preserve">CUST_11395</t>
  </si>
  <si>
    <t xml:space="preserve">PAYREF_202600082</t>
  </si>
  <si>
    <t xml:space="preserve">TXN_2026_000083</t>
  </si>
  <si>
    <t xml:space="preserve">CUST_11412</t>
  </si>
  <si>
    <t xml:space="preserve">PAYREF_202600083</t>
  </si>
  <si>
    <t xml:space="preserve">TXN_2026_000084</t>
  </si>
  <si>
    <t xml:space="preserve">CUST_11429</t>
  </si>
  <si>
    <t xml:space="preserve">PAYREF_202600084</t>
  </si>
  <si>
    <t xml:space="preserve">TXN_2026_000085</t>
  </si>
  <si>
    <t xml:space="preserve">CUST_11446</t>
  </si>
  <si>
    <t xml:space="preserve">PAYREF_202600085</t>
  </si>
  <si>
    <t xml:space="preserve">TXN_2026_000086</t>
  </si>
  <si>
    <t xml:space="preserve">CUST_11463</t>
  </si>
  <si>
    <t xml:space="preserve">PAYREF_202600086</t>
  </si>
  <si>
    <t xml:space="preserve">TXN_2026_000087</t>
  </si>
  <si>
    <t xml:space="preserve">CUST_11480</t>
  </si>
  <si>
    <t xml:space="preserve">PAYREF_202600087</t>
  </si>
  <si>
    <t xml:space="preserve">TXN_2026_000088</t>
  </si>
  <si>
    <t xml:space="preserve">CUST_11497</t>
  </si>
  <si>
    <t xml:space="preserve">PAYREF_202600088</t>
  </si>
  <si>
    <t xml:space="preserve">TXN_2026_000089</t>
  </si>
  <si>
    <t xml:space="preserve">CUST_11514</t>
  </si>
  <si>
    <t xml:space="preserve">PAYREF_202600089</t>
  </si>
  <si>
    <t xml:space="preserve">TXN_2026_000090</t>
  </si>
  <si>
    <t xml:space="preserve">CUST_11531</t>
  </si>
  <si>
    <t xml:space="preserve">PAYREF_202600090</t>
  </si>
  <si>
    <t xml:space="preserve">TXN_2026_000091</t>
  </si>
  <si>
    <t xml:space="preserve">CUST_11548</t>
  </si>
  <si>
    <t xml:space="preserve">PAYREF_202600091</t>
  </si>
  <si>
    <t xml:space="preserve">TXN_2026_000092</t>
  </si>
  <si>
    <t xml:space="preserve">CUST_11565</t>
  </si>
  <si>
    <t xml:space="preserve">PAYREF_202600092</t>
  </si>
  <si>
    <t xml:space="preserve">TXN_2026_000093</t>
  </si>
  <si>
    <t xml:space="preserve">CUST_11582</t>
  </si>
  <si>
    <t xml:space="preserve">PAYREF_202600093</t>
  </si>
  <si>
    <t xml:space="preserve">TXN_2026_000094</t>
  </si>
  <si>
    <t xml:space="preserve">CUST_11599</t>
  </si>
  <si>
    <t xml:space="preserve">PAYREF_202600094</t>
  </si>
  <si>
    <t xml:space="preserve">TXN_2026_000095</t>
  </si>
  <si>
    <t xml:space="preserve">CUST_11616</t>
  </si>
  <si>
    <t xml:space="preserve">PAYREF_202600095</t>
  </si>
  <si>
    <t xml:space="preserve">TXN_2026_000096</t>
  </si>
  <si>
    <t xml:space="preserve">CUST_11633</t>
  </si>
  <si>
    <t xml:space="preserve">PAYREF_202600096</t>
  </si>
  <si>
    <t xml:space="preserve">TXN_2026_000097</t>
  </si>
  <si>
    <t xml:space="preserve">CUST_11650</t>
  </si>
  <si>
    <t xml:space="preserve">PAYREF_202600097</t>
  </si>
  <si>
    <t xml:space="preserve">TXN_2026_000098</t>
  </si>
  <si>
    <t xml:space="preserve">CUST_11667</t>
  </si>
  <si>
    <t xml:space="preserve">PAYREF_202600098</t>
  </si>
  <si>
    <t xml:space="preserve">TXN_2026_000099</t>
  </si>
  <si>
    <t xml:space="preserve">CUST_11684</t>
  </si>
  <si>
    <t xml:space="preserve">PAYREF_202600099</t>
  </si>
  <si>
    <t xml:space="preserve">TXN_2026_000100</t>
  </si>
  <si>
    <t xml:space="preserve">CUST_11701</t>
  </si>
  <si>
    <t xml:space="preserve">PAYREF_202600100</t>
  </si>
  <si>
    <t xml:space="preserve">TXN_2026_000101</t>
  </si>
  <si>
    <t xml:space="preserve">CUST_11718</t>
  </si>
  <si>
    <t xml:space="preserve">PAYREF_202600101</t>
  </si>
  <si>
    <t xml:space="preserve">TXN_2026_000102</t>
  </si>
  <si>
    <t xml:space="preserve">CUST_11735</t>
  </si>
  <si>
    <t xml:space="preserve">PAYREF_202600102</t>
  </si>
  <si>
    <t xml:space="preserve">TXN_2026_000103</t>
  </si>
  <si>
    <t xml:space="preserve">CUST_11752</t>
  </si>
  <si>
    <t xml:space="preserve">PAYREF_202600103</t>
  </si>
  <si>
    <t xml:space="preserve">TXN_2026_000104</t>
  </si>
  <si>
    <t xml:space="preserve">CUST_11769</t>
  </si>
  <si>
    <t xml:space="preserve">PAYREF_202600104</t>
  </si>
  <si>
    <t xml:space="preserve">TXN_2026_000105</t>
  </si>
  <si>
    <t xml:space="preserve">CUST_11786</t>
  </si>
  <si>
    <t xml:space="preserve">PAYREF_202600105</t>
  </si>
  <si>
    <t xml:space="preserve">TXN_2026_000106</t>
  </si>
  <si>
    <t xml:space="preserve">CUST_11803</t>
  </si>
  <si>
    <t xml:space="preserve">PAYREF_202600106</t>
  </si>
  <si>
    <t xml:space="preserve">TXN_2026_000107</t>
  </si>
  <si>
    <t xml:space="preserve">CUST_11820</t>
  </si>
  <si>
    <t xml:space="preserve">PAYREF_202600107</t>
  </si>
  <si>
    <t xml:space="preserve">TXN_2026_000108</t>
  </si>
  <si>
    <t xml:space="preserve">CUST_11837</t>
  </si>
  <si>
    <t xml:space="preserve">PAYREF_202600108</t>
  </si>
  <si>
    <t xml:space="preserve">TXN_2026_000109</t>
  </si>
  <si>
    <t xml:space="preserve">CUST_11854</t>
  </si>
  <si>
    <t xml:space="preserve">PAYREF_202600109</t>
  </si>
  <si>
    <t xml:space="preserve">TXN_2026_000110</t>
  </si>
  <si>
    <t xml:space="preserve">CUST_11871</t>
  </si>
  <si>
    <t xml:space="preserve">PAYREF_202600110</t>
  </si>
  <si>
    <t xml:space="preserve">TXN_2026_000111</t>
  </si>
  <si>
    <t xml:space="preserve">CUST_11888</t>
  </si>
  <si>
    <t xml:space="preserve">PAYREF_202600111</t>
  </si>
  <si>
    <t xml:space="preserve">TXN_2026_000112</t>
  </si>
  <si>
    <t xml:space="preserve">CUST_11905</t>
  </si>
  <si>
    <t xml:space="preserve">PAYREF_202600112</t>
  </si>
  <si>
    <t xml:space="preserve">TXN_2026_000113</t>
  </si>
  <si>
    <t xml:space="preserve">CUST_11922</t>
  </si>
  <si>
    <t xml:space="preserve">PAYREF_202600113</t>
  </si>
  <si>
    <t xml:space="preserve">TXN_2026_000114</t>
  </si>
  <si>
    <t xml:space="preserve">CUST_11939</t>
  </si>
  <si>
    <t xml:space="preserve">PAYREF_202600114</t>
  </si>
  <si>
    <t xml:space="preserve">TXN_2026_000115</t>
  </si>
  <si>
    <t xml:space="preserve">CUST_11956</t>
  </si>
  <si>
    <t xml:space="preserve">PAYREF_202600115</t>
  </si>
  <si>
    <t xml:space="preserve">TXN_2026_000116</t>
  </si>
  <si>
    <t xml:space="preserve">CUST_11973</t>
  </si>
  <si>
    <t xml:space="preserve">PAYREF_202600116</t>
  </si>
  <si>
    <t xml:space="preserve">TXN_2026_000117</t>
  </si>
  <si>
    <t xml:space="preserve">CUST_11990</t>
  </si>
  <si>
    <t xml:space="preserve">PAYREF_202600117</t>
  </si>
  <si>
    <t xml:space="preserve">TXN_2026_000118</t>
  </si>
  <si>
    <t xml:space="preserve">CUST_12007</t>
  </si>
  <si>
    <t xml:space="preserve">PAYREF_202600118</t>
  </si>
  <si>
    <t xml:space="preserve">TXN_2026_000119</t>
  </si>
  <si>
    <t xml:space="preserve">CUST_12024</t>
  </si>
  <si>
    <t xml:space="preserve">PAYREF_202600119</t>
  </si>
  <si>
    <t xml:space="preserve">TXN_2026_000120</t>
  </si>
  <si>
    <t xml:space="preserve">CUST_12041</t>
  </si>
  <si>
    <t xml:space="preserve">PAYREF_202600120</t>
  </si>
  <si>
    <t xml:space="preserve">TXN_2026_000121</t>
  </si>
  <si>
    <t xml:space="preserve">CUST_12058</t>
  </si>
  <si>
    <t xml:space="preserve">PAYREF_202600121</t>
  </si>
  <si>
    <t xml:space="preserve">TXN_2026_000122</t>
  </si>
  <si>
    <t xml:space="preserve">CUST_12075</t>
  </si>
  <si>
    <t xml:space="preserve">PAYREF_202600122</t>
  </si>
  <si>
    <t xml:space="preserve">TXN_2026_000123</t>
  </si>
  <si>
    <t xml:space="preserve">CUST_12092</t>
  </si>
  <si>
    <t xml:space="preserve">PAYREF_202600123</t>
  </si>
  <si>
    <t xml:space="preserve">TXN_2026_000124</t>
  </si>
  <si>
    <t xml:space="preserve">CUST_12109</t>
  </si>
  <si>
    <t xml:space="preserve">PAYREF_202600124</t>
  </si>
  <si>
    <t xml:space="preserve">TXN_2026_000125</t>
  </si>
  <si>
    <t xml:space="preserve">CUST_12126</t>
  </si>
  <si>
    <t xml:space="preserve">PAYREF_202600125</t>
  </si>
  <si>
    <t xml:space="preserve">TXN_2026_000126</t>
  </si>
  <si>
    <t xml:space="preserve">CUST_12143</t>
  </si>
  <si>
    <t xml:space="preserve">PAYREF_202600126</t>
  </si>
  <si>
    <t xml:space="preserve">TXN_2026_000127</t>
  </si>
  <si>
    <t xml:space="preserve">CUST_12160</t>
  </si>
  <si>
    <t xml:space="preserve">PAYREF_202600127</t>
  </si>
  <si>
    <t xml:space="preserve">TXN_2026_000128</t>
  </si>
  <si>
    <t xml:space="preserve">CUST_12177</t>
  </si>
  <si>
    <t xml:space="preserve">PAYREF_202600128</t>
  </si>
  <si>
    <t xml:space="preserve">TXN_2026_000129</t>
  </si>
  <si>
    <t xml:space="preserve">CUST_12194</t>
  </si>
  <si>
    <t xml:space="preserve">PAYREF_202600129</t>
  </si>
  <si>
    <t xml:space="preserve">TXN_2026_000130</t>
  </si>
  <si>
    <t xml:space="preserve">CUST_12211</t>
  </si>
  <si>
    <t xml:space="preserve">PAYREF_202600130</t>
  </si>
  <si>
    <t xml:space="preserve">TXN_2026_000131</t>
  </si>
  <si>
    <t xml:space="preserve">CUST_12228</t>
  </si>
  <si>
    <t xml:space="preserve">PAYREF_202600131</t>
  </si>
  <si>
    <t xml:space="preserve">TXN_2026_000132</t>
  </si>
  <si>
    <t xml:space="preserve">CUST_12245</t>
  </si>
  <si>
    <t xml:space="preserve">PAYREF_202600132</t>
  </si>
  <si>
    <t xml:space="preserve">TXN_2026_000133</t>
  </si>
  <si>
    <t xml:space="preserve">CUST_12262</t>
  </si>
  <si>
    <t xml:space="preserve">PAYREF_202600133</t>
  </si>
  <si>
    <t xml:space="preserve">TXN_2026_000134</t>
  </si>
  <si>
    <t xml:space="preserve">CUST_12279</t>
  </si>
  <si>
    <t xml:space="preserve">PAYREF_202600134</t>
  </si>
  <si>
    <t xml:space="preserve">TXN_2026_000135</t>
  </si>
  <si>
    <t xml:space="preserve">CUST_12296</t>
  </si>
  <si>
    <t xml:space="preserve">PAYREF_202600135</t>
  </si>
  <si>
    <t xml:space="preserve">TXN_2026_000136</t>
  </si>
  <si>
    <t xml:space="preserve">CUST_12313</t>
  </si>
  <si>
    <t xml:space="preserve">PAYREF_202600136</t>
  </si>
  <si>
    <t xml:space="preserve">TXN_2026_000137</t>
  </si>
  <si>
    <t xml:space="preserve">CUST_12330</t>
  </si>
  <si>
    <t xml:space="preserve">PAYREF_202600137</t>
  </si>
  <si>
    <t xml:space="preserve">TXN_2026_000138</t>
  </si>
  <si>
    <t xml:space="preserve">CUST_12347</t>
  </si>
  <si>
    <t xml:space="preserve">PAYREF_202600138</t>
  </si>
  <si>
    <t xml:space="preserve">TXN_2026_000139</t>
  </si>
  <si>
    <t xml:space="preserve">CUST_12364</t>
  </si>
  <si>
    <t xml:space="preserve">PAYREF_202600139</t>
  </si>
  <si>
    <t xml:space="preserve">TXN_2026_000140</t>
  </si>
  <si>
    <t xml:space="preserve">CUST_12381</t>
  </si>
  <si>
    <t xml:space="preserve">PAYREF_202600140</t>
  </si>
  <si>
    <t xml:space="preserve">TXN_2026_000141</t>
  </si>
  <si>
    <t xml:space="preserve">CUST_12398</t>
  </si>
  <si>
    <t xml:space="preserve">PAYREF_202600141</t>
  </si>
  <si>
    <t xml:space="preserve">TXN_2026_000142</t>
  </si>
  <si>
    <t xml:space="preserve">CUST_12415</t>
  </si>
  <si>
    <t xml:space="preserve">PAYREF_202600142</t>
  </si>
  <si>
    <t xml:space="preserve">TXN_2026_000143</t>
  </si>
  <si>
    <t xml:space="preserve">CUST_12432</t>
  </si>
  <si>
    <t xml:space="preserve">PAYREF_202600143</t>
  </si>
  <si>
    <t xml:space="preserve">TXN_2026_000144</t>
  </si>
  <si>
    <t xml:space="preserve">CUST_12449</t>
  </si>
  <si>
    <t xml:space="preserve">PAYREF_202600144</t>
  </si>
  <si>
    <t xml:space="preserve">TXN_2026_000145</t>
  </si>
  <si>
    <t xml:space="preserve">CUST_12466</t>
  </si>
  <si>
    <t xml:space="preserve">PAYREF_202600145</t>
  </si>
  <si>
    <t xml:space="preserve">TXN_2026_000146</t>
  </si>
  <si>
    <t xml:space="preserve">CUST_12483</t>
  </si>
  <si>
    <t xml:space="preserve">PAYREF_202600146</t>
  </si>
  <si>
    <t xml:space="preserve">TXN_2026_000147</t>
  </si>
  <si>
    <t xml:space="preserve">CUST_12500</t>
  </si>
  <si>
    <t xml:space="preserve">PAYREF_202600147</t>
  </si>
  <si>
    <t xml:space="preserve">TXN_2026_000148</t>
  </si>
  <si>
    <t xml:space="preserve">CUST_12517</t>
  </si>
  <si>
    <t xml:space="preserve">PAYREF_202600148</t>
  </si>
  <si>
    <t xml:space="preserve">TXN_2026_000149</t>
  </si>
  <si>
    <t xml:space="preserve">CUST_12534</t>
  </si>
  <si>
    <t xml:space="preserve">PAYREF_202600149</t>
  </si>
  <si>
    <t xml:space="preserve">TXN_2026_000150</t>
  </si>
  <si>
    <t xml:space="preserve">CUST_12551</t>
  </si>
  <si>
    <t xml:space="preserve">PAYREF_202600150</t>
  </si>
  <si>
    <t xml:space="preserve">TXN_2026_000151</t>
  </si>
  <si>
    <t xml:space="preserve">CUST_12568</t>
  </si>
  <si>
    <t xml:space="preserve">PAYREF_202600151</t>
  </si>
  <si>
    <t xml:space="preserve">TXN_2026_000152</t>
  </si>
  <si>
    <t xml:space="preserve">CUST_12585</t>
  </si>
  <si>
    <t xml:space="preserve">PAYREF_202600152</t>
  </si>
  <si>
    <t xml:space="preserve">TXN_2026_000153</t>
  </si>
  <si>
    <t xml:space="preserve">CUST_12602</t>
  </si>
  <si>
    <t xml:space="preserve">PAYREF_202600153</t>
  </si>
  <si>
    <t xml:space="preserve">TXN_2026_000154</t>
  </si>
  <si>
    <t xml:space="preserve">CUST_12619</t>
  </si>
  <si>
    <t xml:space="preserve">PAYREF_202600154</t>
  </si>
  <si>
    <t xml:space="preserve">TXN_2026_000155</t>
  </si>
  <si>
    <t xml:space="preserve">CUST_12636</t>
  </si>
  <si>
    <t xml:space="preserve">PAYREF_202600155</t>
  </si>
  <si>
    <t xml:space="preserve">TXN_2026_000156</t>
  </si>
  <si>
    <t xml:space="preserve">CUST_12653</t>
  </si>
  <si>
    <t xml:space="preserve">PAYREF_202600156</t>
  </si>
  <si>
    <t xml:space="preserve">TXN_2026_000157</t>
  </si>
  <si>
    <t xml:space="preserve">CUST_12670</t>
  </si>
  <si>
    <t xml:space="preserve">PAYREF_202600157</t>
  </si>
  <si>
    <t xml:space="preserve">TXN_2026_000158</t>
  </si>
  <si>
    <t xml:space="preserve">CUST_12687</t>
  </si>
  <si>
    <t xml:space="preserve">PAYREF_202600158</t>
  </si>
  <si>
    <t xml:space="preserve">TXN_2026_000159</t>
  </si>
  <si>
    <t xml:space="preserve">CUST_12704</t>
  </si>
  <si>
    <t xml:space="preserve">PAYREF_202600159</t>
  </si>
  <si>
    <t xml:space="preserve">TXN_2026_000160</t>
  </si>
  <si>
    <t xml:space="preserve">CUST_12721</t>
  </si>
  <si>
    <t xml:space="preserve">PAYREF_202600160</t>
  </si>
  <si>
    <t xml:space="preserve">TXN_2026_000161</t>
  </si>
  <si>
    <t xml:space="preserve">CUST_12738</t>
  </si>
  <si>
    <t xml:space="preserve">PAYREF_202600161</t>
  </si>
  <si>
    <t xml:space="preserve">TXN_2026_000162</t>
  </si>
  <si>
    <t xml:space="preserve">CUST_12755</t>
  </si>
  <si>
    <t xml:space="preserve">PAYREF_202600162</t>
  </si>
  <si>
    <t xml:space="preserve">TXN_2026_000163</t>
  </si>
  <si>
    <t xml:space="preserve">CUST_12772</t>
  </si>
  <si>
    <t xml:space="preserve">PAYREF_202600163</t>
  </si>
  <si>
    <t xml:space="preserve">TXN_2026_000164</t>
  </si>
  <si>
    <t xml:space="preserve">CUST_12789</t>
  </si>
  <si>
    <t xml:space="preserve">PAYREF_202600164</t>
  </si>
  <si>
    <t xml:space="preserve">TXN_2026_000165</t>
  </si>
  <si>
    <t xml:space="preserve">CUST_12806</t>
  </si>
  <si>
    <t xml:space="preserve">PAYREF_202600165</t>
  </si>
  <si>
    <t xml:space="preserve">TXN_2026_000166</t>
  </si>
  <si>
    <t xml:space="preserve">CUST_12823</t>
  </si>
  <si>
    <t xml:space="preserve">PAYREF_202600166</t>
  </si>
  <si>
    <t xml:space="preserve">TXN_2026_000167</t>
  </si>
  <si>
    <t xml:space="preserve">CUST_12840</t>
  </si>
  <si>
    <t xml:space="preserve">PAYREF_202600167</t>
  </si>
  <si>
    <t xml:space="preserve">TXN_2026_000168</t>
  </si>
  <si>
    <t xml:space="preserve">CUST_12857</t>
  </si>
  <si>
    <t xml:space="preserve">PAYREF_202600168</t>
  </si>
  <si>
    <t xml:space="preserve">TXN_2026_000169</t>
  </si>
  <si>
    <t xml:space="preserve">CUST_12874</t>
  </si>
  <si>
    <t xml:space="preserve">PAYREF_202600169</t>
  </si>
  <si>
    <t xml:space="preserve">TXN_2026_000170</t>
  </si>
  <si>
    <t xml:space="preserve">CUST_12891</t>
  </si>
  <si>
    <t xml:space="preserve">PAYREF_202600170</t>
  </si>
  <si>
    <t xml:space="preserve">TXN_2026_000171</t>
  </si>
  <si>
    <t xml:space="preserve">CUST_12908</t>
  </si>
  <si>
    <t xml:space="preserve">PAYREF_202600171</t>
  </si>
  <si>
    <t xml:space="preserve">TXN_2026_000172</t>
  </si>
  <si>
    <t xml:space="preserve">CUST_12925</t>
  </si>
  <si>
    <t xml:space="preserve">PAYREF_202600172</t>
  </si>
  <si>
    <t xml:space="preserve">TXN_2026_000173</t>
  </si>
  <si>
    <t xml:space="preserve">CUST_12942</t>
  </si>
  <si>
    <t xml:space="preserve">PAYREF_202600173</t>
  </si>
  <si>
    <t xml:space="preserve">TXN_2026_000174</t>
  </si>
  <si>
    <t xml:space="preserve">CUST_12959</t>
  </si>
  <si>
    <t xml:space="preserve">PAYREF_202600174</t>
  </si>
  <si>
    <t xml:space="preserve">TXN_2026_000175</t>
  </si>
  <si>
    <t xml:space="preserve">CUST_12976</t>
  </si>
  <si>
    <t xml:space="preserve">PAYREF_202600175</t>
  </si>
  <si>
    <t xml:space="preserve">Settlement ID</t>
  </si>
  <si>
    <t xml:space="preserve">Settlement Ref</t>
  </si>
  <si>
    <t xml:space="preserve">Batch ID</t>
  </si>
  <si>
    <t xml:space="preserve">Settlement Date</t>
  </si>
  <si>
    <t xml:space="preserve">Fee Amount</t>
  </si>
  <si>
    <t xml:space="preserve">Net Settlement</t>
  </si>
  <si>
    <t xml:space="preserve">Net Check [Auto]</t>
  </si>
  <si>
    <t xml:space="preserve">STL_2026_000001</t>
  </si>
  <si>
    <t xml:space="preserve">STLREF_000001</t>
  </si>
  <si>
    <t xml:space="preserve">BATCH_AXIS_20260902</t>
  </si>
  <si>
    <t xml:space="preserve">STL_2026_000002</t>
  </si>
  <si>
    <t xml:space="preserve">STLREF_000002</t>
  </si>
  <si>
    <t xml:space="preserve">BATCH_HDFC_20260903</t>
  </si>
  <si>
    <t xml:space="preserve">STL_2026_000003</t>
  </si>
  <si>
    <t xml:space="preserve">STLREF_000003</t>
  </si>
  <si>
    <t xml:space="preserve">BATCH_ICIC_20260907</t>
  </si>
  <si>
    <t xml:space="preserve">STL_2026_000004</t>
  </si>
  <si>
    <t xml:space="preserve">STLREF_000004</t>
  </si>
  <si>
    <t xml:space="preserve">BATCH_RAZO_20260908</t>
  </si>
  <si>
    <t xml:space="preserve">STL_2026_000005</t>
  </si>
  <si>
    <t xml:space="preserve">STLREF_000005</t>
  </si>
  <si>
    <t xml:space="preserve">BATCH_AXIS_20260908</t>
  </si>
  <si>
    <t xml:space="preserve">STL_2026_000006</t>
  </si>
  <si>
    <t xml:space="preserve">STLREF_000006</t>
  </si>
  <si>
    <t xml:space="preserve">BATCH_HDFC_20260908</t>
  </si>
  <si>
    <t xml:space="preserve">STL_2026_000007</t>
  </si>
  <si>
    <t xml:space="preserve">STLREF_000007</t>
  </si>
  <si>
    <t xml:space="preserve">BATCH_ICIC_20260908</t>
  </si>
  <si>
    <t xml:space="preserve">STL_2026_000008</t>
  </si>
  <si>
    <t xml:space="preserve">STLREF_000008</t>
  </si>
  <si>
    <t xml:space="preserve">BATCH_RAZO_20260910</t>
  </si>
  <si>
    <t xml:space="preserve">STL_2026_000009</t>
  </si>
  <si>
    <t xml:space="preserve">STLREF_000009</t>
  </si>
  <si>
    <t xml:space="preserve">BATCH_AXIS_20260910</t>
  </si>
  <si>
    <t xml:space="preserve">STL_2026_000010</t>
  </si>
  <si>
    <t xml:space="preserve">STLREF_000010</t>
  </si>
  <si>
    <t xml:space="preserve">BATCH_HDFC_20260914</t>
  </si>
  <si>
    <t xml:space="preserve">STL_2026_000011</t>
  </si>
  <si>
    <t xml:space="preserve">STLREF_000011</t>
  </si>
  <si>
    <t xml:space="preserve">BATCH_ICIC_20260915</t>
  </si>
  <si>
    <t xml:space="preserve">STL_2026_000012</t>
  </si>
  <si>
    <t xml:space="preserve">STLREF_000012</t>
  </si>
  <si>
    <t xml:space="preserve">BATCH_RAZO_20260914</t>
  </si>
  <si>
    <t xml:space="preserve">STL_2026_000013</t>
  </si>
  <si>
    <t xml:space="preserve">STLREF_000013</t>
  </si>
  <si>
    <t xml:space="preserve">BATCH_AXIS_20260915</t>
  </si>
  <si>
    <t xml:space="preserve">STL_2026_000014</t>
  </si>
  <si>
    <t xml:space="preserve">STLREF_000014</t>
  </si>
  <si>
    <t xml:space="preserve">BATCH_HDFC_20260915</t>
  </si>
  <si>
    <t xml:space="preserve">STL_2026_000015</t>
  </si>
  <si>
    <t xml:space="preserve">STLREF_000015</t>
  </si>
  <si>
    <t xml:space="preserve">BATCH_ICIC_20260917</t>
  </si>
  <si>
    <t xml:space="preserve">STL_2026_000016</t>
  </si>
  <si>
    <t xml:space="preserve">STLREF_000016</t>
  </si>
  <si>
    <t xml:space="preserve">BATCH_RAZO_20260918</t>
  </si>
  <si>
    <t xml:space="preserve">STL_2026_000017</t>
  </si>
  <si>
    <t xml:space="preserve">STLREF_000017</t>
  </si>
  <si>
    <t xml:space="preserve">BATCH_AXIS_20260921</t>
  </si>
  <si>
    <t xml:space="preserve">STL_2026_000018</t>
  </si>
  <si>
    <t xml:space="preserve">STLREF_000018</t>
  </si>
  <si>
    <t xml:space="preserve">BATCH_HDFC_20260922</t>
  </si>
  <si>
    <t xml:space="preserve">STL_2026_000019</t>
  </si>
  <si>
    <t xml:space="preserve">STLREF_000019</t>
  </si>
  <si>
    <t xml:space="preserve">BATCH_ICIC_20260922</t>
  </si>
  <si>
    <t xml:space="preserve">STL_2026_000020</t>
  </si>
  <si>
    <t xml:space="preserve">STLREF_000020</t>
  </si>
  <si>
    <t xml:space="preserve">BATCH_RAZO_20260921</t>
  </si>
  <si>
    <t xml:space="preserve">STL_2026_000021</t>
  </si>
  <si>
    <t xml:space="preserve">STLREF_000021</t>
  </si>
  <si>
    <t xml:space="preserve">BATCH_AXIS_20260923</t>
  </si>
  <si>
    <t xml:space="preserve">STL_2026_000022</t>
  </si>
  <si>
    <t xml:space="preserve">STLREF_000022</t>
  </si>
  <si>
    <t xml:space="preserve">BATCH_HDFC_20260924</t>
  </si>
  <si>
    <t xml:space="preserve">STL_2026_000023</t>
  </si>
  <si>
    <t xml:space="preserve">STLREF_000023</t>
  </si>
  <si>
    <t xml:space="preserve">BATCH_ICIC_20260924</t>
  </si>
  <si>
    <t xml:space="preserve">STL_2026_000024</t>
  </si>
  <si>
    <t xml:space="preserve">STLREF_000024</t>
  </si>
  <si>
    <t xml:space="preserve">BATCH_RAZO_20260928</t>
  </si>
  <si>
    <t xml:space="preserve">STL_2026_000025</t>
  </si>
  <si>
    <t xml:space="preserve">STLREF_000025</t>
  </si>
  <si>
    <t xml:space="preserve">BATCH_AXIS_20260928</t>
  </si>
  <si>
    <t xml:space="preserve">STL_2026_000026</t>
  </si>
  <si>
    <t xml:space="preserve">STLREF_000026</t>
  </si>
  <si>
    <t xml:space="preserve">STL_2026_000027</t>
  </si>
  <si>
    <t xml:space="preserve">STLREF_000027</t>
  </si>
  <si>
    <t xml:space="preserve">BATCH_HDFC_20260928</t>
  </si>
  <si>
    <t xml:space="preserve">STL_2026_000028</t>
  </si>
  <si>
    <t xml:space="preserve">STLREF_000028</t>
  </si>
  <si>
    <t xml:space="preserve">BATCH_ICIC_20260930</t>
  </si>
  <si>
    <t xml:space="preserve">STL_2026_000029</t>
  </si>
  <si>
    <t xml:space="preserve">STLREF_000029</t>
  </si>
  <si>
    <t xml:space="preserve">BATCH_RAZO_20261001</t>
  </si>
  <si>
    <t xml:space="preserve">STL_2026_000030</t>
  </si>
  <si>
    <t xml:space="preserve">STLREF_000030</t>
  </si>
  <si>
    <t xml:space="preserve">BATCH_AXIS_20261002</t>
  </si>
  <si>
    <t xml:space="preserve">STL_2026_000031</t>
  </si>
  <si>
    <t xml:space="preserve">STLREF_000031</t>
  </si>
  <si>
    <t xml:space="preserve">BATCH_HDFC_20261005</t>
  </si>
  <si>
    <t xml:space="preserve">STL_2026_000032</t>
  </si>
  <si>
    <t xml:space="preserve">STLREF_000032</t>
  </si>
  <si>
    <t xml:space="preserve">BATCH_ICIC_20261005</t>
  </si>
  <si>
    <t xml:space="preserve">STL_2026_000033</t>
  </si>
  <si>
    <t xml:space="preserve">STLREF_000033</t>
  </si>
  <si>
    <t xml:space="preserve">BATCH_RAZO_20261006</t>
  </si>
  <si>
    <t xml:space="preserve">STL_2026_000034</t>
  </si>
  <si>
    <t xml:space="preserve">STLREF_000034</t>
  </si>
  <si>
    <t xml:space="preserve">BATCH_AXIS_20261005</t>
  </si>
  <si>
    <t xml:space="preserve">STL_2026_000035</t>
  </si>
  <si>
    <t xml:space="preserve">STLREF_000035</t>
  </si>
  <si>
    <t xml:space="preserve">BATCH_HDFC_20261007</t>
  </si>
  <si>
    <t xml:space="preserve">STL_2026_000036</t>
  </si>
  <si>
    <t xml:space="preserve">STLREF_000036</t>
  </si>
  <si>
    <t xml:space="preserve">BATCH_ICIC_20261008</t>
  </si>
  <si>
    <t xml:space="preserve">STL_2026_000037</t>
  </si>
  <si>
    <t xml:space="preserve">STLREF_000037</t>
  </si>
  <si>
    <t xml:space="preserve">BATCH_RAZO_20261008</t>
  </si>
  <si>
    <t xml:space="preserve">STL_2026_000038</t>
  </si>
  <si>
    <t xml:space="preserve">STLREF_000038</t>
  </si>
  <si>
    <t xml:space="preserve">BATCH_AXIS_20261012</t>
  </si>
  <si>
    <t xml:space="preserve">STL_2026_000039</t>
  </si>
  <si>
    <t xml:space="preserve">STLREF_000039</t>
  </si>
  <si>
    <t xml:space="preserve">BATCH_HDFC_20261012</t>
  </si>
  <si>
    <t xml:space="preserve">STL_2026_000040</t>
  </si>
  <si>
    <t xml:space="preserve">STLREF_000040</t>
  </si>
  <si>
    <t xml:space="preserve">BATCH_ICIC_20261013</t>
  </si>
  <si>
    <t xml:space="preserve">STL_2026_000041</t>
  </si>
  <si>
    <t xml:space="preserve">STLREF_000041</t>
  </si>
  <si>
    <t xml:space="preserve">BATCH_RAZO_20261013</t>
  </si>
  <si>
    <t xml:space="preserve">STL_2026_000042</t>
  </si>
  <si>
    <t xml:space="preserve">STLREF_000042</t>
  </si>
  <si>
    <t xml:space="preserve">BATCH_AXIS_20261014</t>
  </si>
  <si>
    <t xml:space="preserve">STL_2026_000043</t>
  </si>
  <si>
    <t xml:space="preserve">STLREF_000043</t>
  </si>
  <si>
    <t xml:space="preserve">BATCH_HDFC_20261015</t>
  </si>
  <si>
    <t xml:space="preserve">STL_2026_000044</t>
  </si>
  <si>
    <t xml:space="preserve">STLREF_000044</t>
  </si>
  <si>
    <t xml:space="preserve">BATCH_ICIC_20261016</t>
  </si>
  <si>
    <t xml:space="preserve">STL_2026_000045</t>
  </si>
  <si>
    <t xml:space="preserve">STLREF_000045</t>
  </si>
  <si>
    <t xml:space="preserve">BATCH_RAZO_20261016</t>
  </si>
  <si>
    <t xml:space="preserve">STL_2026_000046</t>
  </si>
  <si>
    <t xml:space="preserve">STLREF_000046</t>
  </si>
  <si>
    <t xml:space="preserve">BATCH_AXIS_20261020</t>
  </si>
  <si>
    <t xml:space="preserve">STL_2026_000047</t>
  </si>
  <si>
    <t xml:space="preserve">STLREF_000047</t>
  </si>
  <si>
    <t xml:space="preserve">BATCH_HDFC_20261020</t>
  </si>
  <si>
    <t xml:space="preserve">STL_2026_000048</t>
  </si>
  <si>
    <t xml:space="preserve">STLREF_000048</t>
  </si>
  <si>
    <t xml:space="preserve">BATCH_ICIC_20261019</t>
  </si>
  <si>
    <t xml:space="preserve">STL_2026_000049</t>
  </si>
  <si>
    <t xml:space="preserve">STLREF_000049</t>
  </si>
  <si>
    <t xml:space="preserve">BATCH_RAZO_20261021</t>
  </si>
  <si>
    <t xml:space="preserve">2026-10-21</t>
  </si>
  <si>
    <t xml:space="preserve">STL_2026_000050</t>
  </si>
  <si>
    <t xml:space="preserve">STLREF_000050</t>
  </si>
  <si>
    <t xml:space="preserve">BATCH_AXIS_20261021</t>
  </si>
  <si>
    <t xml:space="preserve">STL_2026_000051</t>
  </si>
  <si>
    <t xml:space="preserve">STLREF_000051</t>
  </si>
  <si>
    <t xml:space="preserve">STL_2026_000052</t>
  </si>
  <si>
    <t xml:space="preserve">STLREF_000052</t>
  </si>
  <si>
    <t xml:space="preserve">STL_2026_000053</t>
  </si>
  <si>
    <t xml:space="preserve">STLREF_000053</t>
  </si>
  <si>
    <t xml:space="preserve">STL_2026_000054</t>
  </si>
  <si>
    <t xml:space="preserve">STLREF_000054</t>
  </si>
  <si>
    <t xml:space="preserve">STL_2026_000055</t>
  </si>
  <si>
    <t xml:space="preserve">STLREF_000055</t>
  </si>
  <si>
    <t xml:space="preserve">STL_2026_000056</t>
  </si>
  <si>
    <t xml:space="preserve">STLREF_000056</t>
  </si>
  <si>
    <t xml:space="preserve">STL_2026_000057</t>
  </si>
  <si>
    <t xml:space="preserve">STLREF_000057</t>
  </si>
  <si>
    <t xml:space="preserve">STL_2026_000058</t>
  </si>
  <si>
    <t xml:space="preserve">STLREF_000058</t>
  </si>
  <si>
    <t xml:space="preserve">STL_2026_000059</t>
  </si>
  <si>
    <t xml:space="preserve">STLREF_000059</t>
  </si>
  <si>
    <t xml:space="preserve">STL_2026_000060</t>
  </si>
  <si>
    <t xml:space="preserve">STLREF_000060</t>
  </si>
  <si>
    <t xml:space="preserve">STL_2026_000061</t>
  </si>
  <si>
    <t xml:space="preserve">STLREF_000061</t>
  </si>
  <si>
    <t xml:space="preserve">STL_2026_000062</t>
  </si>
  <si>
    <t xml:space="preserve">STLREF_000062</t>
  </si>
  <si>
    <t xml:space="preserve">STL_2026_000063</t>
  </si>
  <si>
    <t xml:space="preserve">STLREF_000063</t>
  </si>
  <si>
    <t xml:space="preserve">STL_2026_000064</t>
  </si>
  <si>
    <t xml:space="preserve">STLREF_000064</t>
  </si>
  <si>
    <t xml:space="preserve">STL_2026_000065</t>
  </si>
  <si>
    <t xml:space="preserve">STLREF_000065</t>
  </si>
  <si>
    <t xml:space="preserve">STL_2026_000066</t>
  </si>
  <si>
    <t xml:space="preserve">STLREF_000066</t>
  </si>
  <si>
    <t xml:space="preserve">STL_2026_000067</t>
  </si>
  <si>
    <t xml:space="preserve">STLREF_000067</t>
  </si>
  <si>
    <t xml:space="preserve">STL_2026_000068</t>
  </si>
  <si>
    <t xml:space="preserve">STLREF_000068</t>
  </si>
  <si>
    <t xml:space="preserve">STL_2026_000069</t>
  </si>
  <si>
    <t xml:space="preserve">STLREF_000069</t>
  </si>
  <si>
    <t xml:space="preserve">STL_2026_000070</t>
  </si>
  <si>
    <t xml:space="preserve">STLREF_000070</t>
  </si>
  <si>
    <t xml:space="preserve">STL_2026_000071</t>
  </si>
  <si>
    <t xml:space="preserve">STLREF_000071</t>
  </si>
  <si>
    <t xml:space="preserve">STL_2026_000072</t>
  </si>
  <si>
    <t xml:space="preserve">STLREF_000072</t>
  </si>
  <si>
    <t xml:space="preserve">STL_2026_000073</t>
  </si>
  <si>
    <t xml:space="preserve">STLREF_000073</t>
  </si>
  <si>
    <t xml:space="preserve">STL_2026_000074</t>
  </si>
  <si>
    <t xml:space="preserve">STLREF_000074</t>
  </si>
  <si>
    <t xml:space="preserve">STL_2026_000075</t>
  </si>
  <si>
    <t xml:space="preserve">STLREF_000075</t>
  </si>
  <si>
    <t xml:space="preserve">STL_2026_000076</t>
  </si>
  <si>
    <t xml:space="preserve">STLREF_000076</t>
  </si>
  <si>
    <t xml:space="preserve">STL_2026_000077</t>
  </si>
  <si>
    <t xml:space="preserve">STLREF_000077</t>
  </si>
  <si>
    <t xml:space="preserve">STL_2026_000078</t>
  </si>
  <si>
    <t xml:space="preserve">STLREF_000078</t>
  </si>
  <si>
    <t xml:space="preserve">STL_2026_000079</t>
  </si>
  <si>
    <t xml:space="preserve">STLREF_000079</t>
  </si>
  <si>
    <t xml:space="preserve">STL_2026_000080</t>
  </si>
  <si>
    <t xml:space="preserve">STLREF_000080</t>
  </si>
  <si>
    <t xml:space="preserve">STL_2026_000081</t>
  </si>
  <si>
    <t xml:space="preserve">STLREF_000081</t>
  </si>
  <si>
    <t xml:space="preserve">STL_2026_000082</t>
  </si>
  <si>
    <t xml:space="preserve">STLREF_000082</t>
  </si>
  <si>
    <t xml:space="preserve">STL_2026_000083</t>
  </si>
  <si>
    <t xml:space="preserve">STLREF_000083</t>
  </si>
  <si>
    <t xml:space="preserve">STL_2026_000084</t>
  </si>
  <si>
    <t xml:space="preserve">STLREF_000084</t>
  </si>
  <si>
    <t xml:space="preserve">STL_2026_000085</t>
  </si>
  <si>
    <t xml:space="preserve">STLREF_000085</t>
  </si>
  <si>
    <t xml:space="preserve">STL_2026_000086</t>
  </si>
  <si>
    <t xml:space="preserve">STLREF_000086</t>
  </si>
  <si>
    <t xml:space="preserve">STL_2026_000087</t>
  </si>
  <si>
    <t xml:space="preserve">STLREF_000087</t>
  </si>
  <si>
    <t xml:space="preserve">STL_2026_000088</t>
  </si>
  <si>
    <t xml:space="preserve">STLREF_000088</t>
  </si>
  <si>
    <t xml:space="preserve">STL_2026_000089</t>
  </si>
  <si>
    <t xml:space="preserve">STLREF_000089</t>
  </si>
  <si>
    <t xml:space="preserve">STL_2026_000090</t>
  </si>
  <si>
    <t xml:space="preserve">STLREF_000090</t>
  </si>
  <si>
    <t xml:space="preserve">STL_2026_000091</t>
  </si>
  <si>
    <t xml:space="preserve">STLREF_000091</t>
  </si>
  <si>
    <t xml:space="preserve">STL_2026_000092</t>
  </si>
  <si>
    <t xml:space="preserve">STLREF_000092</t>
  </si>
  <si>
    <t xml:space="preserve">STL_2026_000093</t>
  </si>
  <si>
    <t xml:space="preserve">STLREF_000093</t>
  </si>
  <si>
    <t xml:space="preserve">STL_2026_000094</t>
  </si>
  <si>
    <t xml:space="preserve">STLREF_000094</t>
  </si>
  <si>
    <t xml:space="preserve">STL_2026_000095</t>
  </si>
  <si>
    <t xml:space="preserve">STLREF_000095</t>
  </si>
  <si>
    <t xml:space="preserve">STL_2026_000096</t>
  </si>
  <si>
    <t xml:space="preserve">STLREF_000096</t>
  </si>
  <si>
    <t xml:space="preserve">STL_2026_000097</t>
  </si>
  <si>
    <t xml:space="preserve">STLREF_000097</t>
  </si>
  <si>
    <t xml:space="preserve">STL_2026_000098</t>
  </si>
  <si>
    <t xml:space="preserve">STLREF_000098</t>
  </si>
  <si>
    <t xml:space="preserve">STL_2026_000099</t>
  </si>
  <si>
    <t xml:space="preserve">STLREF_000099</t>
  </si>
  <si>
    <t xml:space="preserve">STL_2026_000100</t>
  </si>
  <si>
    <t xml:space="preserve">STLREF_000100</t>
  </si>
  <si>
    <t xml:space="preserve">STL_2026_000101</t>
  </si>
  <si>
    <t xml:space="preserve">STLREF_000101</t>
  </si>
  <si>
    <t xml:space="preserve">STL_2026_000102</t>
  </si>
  <si>
    <t xml:space="preserve">STLREF_000102</t>
  </si>
  <si>
    <t xml:space="preserve">STL_2026_000103</t>
  </si>
  <si>
    <t xml:space="preserve">STLREF_000103</t>
  </si>
  <si>
    <t xml:space="preserve">STL_2026_000104</t>
  </si>
  <si>
    <t xml:space="preserve">STLREF_000104</t>
  </si>
  <si>
    <t xml:space="preserve">STL_2026_000105</t>
  </si>
  <si>
    <t xml:space="preserve">STLREF_000105</t>
  </si>
  <si>
    <t xml:space="preserve">STL_2026_000106</t>
  </si>
  <si>
    <t xml:space="preserve">STLREF_000106</t>
  </si>
  <si>
    <t xml:space="preserve">STL_2026_000107</t>
  </si>
  <si>
    <t xml:space="preserve">STLREF_000107</t>
  </si>
  <si>
    <t xml:space="preserve">STL_2026_000108</t>
  </si>
  <si>
    <t xml:space="preserve">STLREF_000108</t>
  </si>
  <si>
    <t xml:space="preserve">STL_2026_000109</t>
  </si>
  <si>
    <t xml:space="preserve">STLREF_000109</t>
  </si>
  <si>
    <t xml:space="preserve">STL_2026_000110</t>
  </si>
  <si>
    <t xml:space="preserve">STLREF_000110</t>
  </si>
  <si>
    <t xml:space="preserve">STL_2026_000111</t>
  </si>
  <si>
    <t xml:space="preserve">STLREF_000111</t>
  </si>
  <si>
    <t xml:space="preserve">STL_2026_000112</t>
  </si>
  <si>
    <t xml:space="preserve">STLREF_000112</t>
  </si>
  <si>
    <t xml:space="preserve">STL_2026_000113</t>
  </si>
  <si>
    <t xml:space="preserve">STLREF_000113</t>
  </si>
  <si>
    <t xml:space="preserve">STL_2026_000114</t>
  </si>
  <si>
    <t xml:space="preserve">STLREF_000114</t>
  </si>
  <si>
    <t xml:space="preserve">STL_2026_000115</t>
  </si>
  <si>
    <t xml:space="preserve">STLREF_000115</t>
  </si>
  <si>
    <t xml:space="preserve">STL_2026_000116</t>
  </si>
  <si>
    <t xml:space="preserve">STLREF_000116</t>
  </si>
  <si>
    <t xml:space="preserve">STL_2026_000117</t>
  </si>
  <si>
    <t xml:space="preserve">STLREF_000117</t>
  </si>
  <si>
    <t xml:space="preserve">STL_2026_000118</t>
  </si>
  <si>
    <t xml:space="preserve">STLREF_000118</t>
  </si>
  <si>
    <t xml:space="preserve">STL_2026_000119</t>
  </si>
  <si>
    <t xml:space="preserve">STLREF_000119</t>
  </si>
  <si>
    <t xml:space="preserve">STL_2026_000120</t>
  </si>
  <si>
    <t xml:space="preserve">STLREF_000120</t>
  </si>
  <si>
    <t xml:space="preserve">STL_2026_000121</t>
  </si>
  <si>
    <t xml:space="preserve">STLREF_000121</t>
  </si>
  <si>
    <t xml:space="preserve">STL_2026_000122</t>
  </si>
  <si>
    <t xml:space="preserve">STLREF_000122</t>
  </si>
  <si>
    <t xml:space="preserve">STL_2026_000123</t>
  </si>
  <si>
    <t xml:space="preserve">STLREF_000123</t>
  </si>
  <si>
    <t xml:space="preserve">STL_2026_000124</t>
  </si>
  <si>
    <t xml:space="preserve">STLREF_000124</t>
  </si>
  <si>
    <t xml:space="preserve">STL_2026_000125</t>
  </si>
  <si>
    <t xml:space="preserve">STLREF_000125</t>
  </si>
  <si>
    <t xml:space="preserve">STL_2026_000126</t>
  </si>
  <si>
    <t xml:space="preserve">STLREF_000126</t>
  </si>
  <si>
    <t xml:space="preserve">STL_2026_000127</t>
  </si>
  <si>
    <t xml:space="preserve">STLREF_000127</t>
  </si>
  <si>
    <t xml:space="preserve">STL_2026_000128</t>
  </si>
  <si>
    <t xml:space="preserve">STLREF_000128</t>
  </si>
  <si>
    <t xml:space="preserve">STL_2026_000129</t>
  </si>
  <si>
    <t xml:space="preserve">STLREF_000129</t>
  </si>
  <si>
    <t xml:space="preserve">STL_2026_000130</t>
  </si>
  <si>
    <t xml:space="preserve">STLREF_000130</t>
  </si>
  <si>
    <t xml:space="preserve">STL_2026_000131</t>
  </si>
  <si>
    <t xml:space="preserve">STLREF_000131</t>
  </si>
  <si>
    <t xml:space="preserve">STL_2026_000132</t>
  </si>
  <si>
    <t xml:space="preserve">STLREF_000132</t>
  </si>
  <si>
    <t xml:space="preserve">STL_2026_000133</t>
  </si>
  <si>
    <t xml:space="preserve">STLREF_000133</t>
  </si>
  <si>
    <t xml:space="preserve">STL_2026_000134</t>
  </si>
  <si>
    <t xml:space="preserve">STLREF_000134</t>
  </si>
  <si>
    <t xml:space="preserve">STL_2026_000135</t>
  </si>
  <si>
    <t xml:space="preserve">STLREF_000135</t>
  </si>
  <si>
    <t xml:space="preserve">STL_2026_000136</t>
  </si>
  <si>
    <t xml:space="preserve">STLREF_000136</t>
  </si>
  <si>
    <t xml:space="preserve">STL_2026_000137</t>
  </si>
  <si>
    <t xml:space="preserve">STLREF_000137</t>
  </si>
  <si>
    <t xml:space="preserve">STL_2026_000138</t>
  </si>
  <si>
    <t xml:space="preserve">STLREF_000138</t>
  </si>
  <si>
    <t xml:space="preserve">STL_2026_000139</t>
  </si>
  <si>
    <t xml:space="preserve">STLREF_000139</t>
  </si>
  <si>
    <t xml:space="preserve">STL_2026_000140</t>
  </si>
  <si>
    <t xml:space="preserve">STLREF_000140</t>
  </si>
  <si>
    <t xml:space="preserve">STL_2026_000141</t>
  </si>
  <si>
    <t xml:space="preserve">STLREF_000141</t>
  </si>
  <si>
    <t xml:space="preserve">STL_2026_000142</t>
  </si>
  <si>
    <t xml:space="preserve">STLREF_000142</t>
  </si>
  <si>
    <t xml:space="preserve">STL_2026_000143</t>
  </si>
  <si>
    <t xml:space="preserve">STLREF_000143</t>
  </si>
  <si>
    <t xml:space="preserve">STL_2026_000144</t>
  </si>
  <si>
    <t xml:space="preserve">STLREF_000144</t>
  </si>
  <si>
    <t xml:space="preserve">STL_2026_000145</t>
  </si>
  <si>
    <t xml:space="preserve">STLREF_000145</t>
  </si>
  <si>
    <t xml:space="preserve">STL_2026_000146</t>
  </si>
  <si>
    <t xml:space="preserve">STLREF_000146</t>
  </si>
  <si>
    <t xml:space="preserve">STL_2026_000147</t>
  </si>
  <si>
    <t xml:space="preserve">STLREF_000147</t>
  </si>
  <si>
    <t xml:space="preserve">STL_2026_000148</t>
  </si>
  <si>
    <t xml:space="preserve">STLREF_000148</t>
  </si>
  <si>
    <t xml:space="preserve">STL_2026_000149</t>
  </si>
  <si>
    <t xml:space="preserve">STLREF_000149</t>
  </si>
  <si>
    <t xml:space="preserve">STL_2026_000150</t>
  </si>
  <si>
    <t xml:space="preserve">STLREF_000150</t>
  </si>
  <si>
    <t xml:space="preserve">STL_2026_000151</t>
  </si>
  <si>
    <t xml:space="preserve">STLREF_000151</t>
  </si>
  <si>
    <t xml:space="preserve">STL_2026_000152</t>
  </si>
  <si>
    <t xml:space="preserve">STLREF_000152</t>
  </si>
  <si>
    <t xml:space="preserve">STL_2026_000153</t>
  </si>
  <si>
    <t xml:space="preserve">STLREF_000153</t>
  </si>
  <si>
    <t xml:space="preserve">STL_2026_000154</t>
  </si>
  <si>
    <t xml:space="preserve">STLREF_000154</t>
  </si>
  <si>
    <t xml:space="preserve">STL_2026_000155</t>
  </si>
  <si>
    <t xml:space="preserve">STLREF_000155</t>
  </si>
  <si>
    <t xml:space="preserve">STL_2026_000156</t>
  </si>
  <si>
    <t xml:space="preserve">STLREF_000156</t>
  </si>
  <si>
    <t xml:space="preserve">STL_2026_000157</t>
  </si>
  <si>
    <t xml:space="preserve">STLREF_000157</t>
  </si>
  <si>
    <t xml:space="preserve">STL_2026_000158</t>
  </si>
  <si>
    <t xml:space="preserve">STLREF_000158</t>
  </si>
  <si>
    <t xml:space="preserve">STL_2026_000159</t>
  </si>
  <si>
    <t xml:space="preserve">STLREF_000159</t>
  </si>
  <si>
    <t xml:space="preserve">STL_2026_000160</t>
  </si>
  <si>
    <t xml:space="preserve">STLREF_000160</t>
  </si>
  <si>
    <t xml:space="preserve">STL_2026_000161</t>
  </si>
  <si>
    <t xml:space="preserve">STLREF_000161</t>
  </si>
  <si>
    <t xml:space="preserve">STL_2026_000162</t>
  </si>
  <si>
    <t xml:space="preserve">STLREF_000162</t>
  </si>
  <si>
    <t xml:space="preserve">STL_2026_000163</t>
  </si>
  <si>
    <t xml:space="preserve">STLREF_000163</t>
  </si>
  <si>
    <t xml:space="preserve">STL_2026_000164</t>
  </si>
  <si>
    <t xml:space="preserve">STLREF_000164</t>
  </si>
  <si>
    <t xml:space="preserve">STL_2026_000165</t>
  </si>
  <si>
    <t xml:space="preserve">STLREF_000165</t>
  </si>
  <si>
    <t xml:space="preserve">STL_2026_000166</t>
  </si>
  <si>
    <t xml:space="preserve">STLREF_000166</t>
  </si>
  <si>
    <t xml:space="preserve">STL_2026_000167</t>
  </si>
  <si>
    <t xml:space="preserve">STLREF_000167</t>
  </si>
  <si>
    <t xml:space="preserve">STL_2026_000168</t>
  </si>
  <si>
    <t xml:space="preserve">STLREF_000168</t>
  </si>
  <si>
    <t xml:space="preserve">STL_2026_000169</t>
  </si>
  <si>
    <t xml:space="preserve">STLREF_000169</t>
  </si>
  <si>
    <t xml:space="preserve">STL_2026_000170</t>
  </si>
  <si>
    <t xml:space="preserve">STLREF_000170</t>
  </si>
  <si>
    <t xml:space="preserve">STL_2026_000171</t>
  </si>
  <si>
    <t xml:space="preserve">STLREF_000171</t>
  </si>
  <si>
    <t xml:space="preserve">STL_2026_000172</t>
  </si>
  <si>
    <t xml:space="preserve">STLREF_000172</t>
  </si>
  <si>
    <t xml:space="preserve">STL_2026_000173</t>
  </si>
  <si>
    <t xml:space="preserve">STLREF_000173</t>
  </si>
  <si>
    <t xml:space="preserve">STL_2026_000174</t>
  </si>
  <si>
    <t xml:space="preserve">STLREF_000174</t>
  </si>
  <si>
    <t xml:space="preserve">STL_2026_000175</t>
  </si>
  <si>
    <t xml:space="preserve">STLREF_000175</t>
  </si>
  <si>
    <t xml:space="preserve">Bank Entry ID</t>
  </si>
  <si>
    <t xml:space="preserve">Bank UTR Ref</t>
  </si>
  <si>
    <t xml:space="preserve">Transaction Ref</t>
  </si>
  <si>
    <t xml:space="preserve">Value Date</t>
  </si>
  <si>
    <t xml:space="preserve">Credit Amount</t>
  </si>
  <si>
    <t xml:space="preserve">Debit Amount</t>
  </si>
  <si>
    <t xml:space="preserve">Signed Bank Amount [Auto]</t>
  </si>
  <si>
    <t xml:space="preserve">BNK_2026_000001</t>
  </si>
  <si>
    <t xml:space="preserve">UTR20260000001</t>
  </si>
  <si>
    <t xml:space="preserve">BNK_2026_000002</t>
  </si>
  <si>
    <t xml:space="preserve">UTR20260000002</t>
  </si>
  <si>
    <t xml:space="preserve">BNK_2026_000003</t>
  </si>
  <si>
    <t xml:space="preserve">UTR20260000003</t>
  </si>
  <si>
    <t xml:space="preserve">BNK_2026_000004</t>
  </si>
  <si>
    <t xml:space="preserve">UTR20260000004</t>
  </si>
  <si>
    <t xml:space="preserve">BNK_2026_000005</t>
  </si>
  <si>
    <t xml:space="preserve">UTR20260000005</t>
  </si>
  <si>
    <t xml:space="preserve">BNK_2026_000006</t>
  </si>
  <si>
    <t xml:space="preserve">UTR20260000006</t>
  </si>
  <si>
    <t xml:space="preserve">BNK_2026_000007</t>
  </si>
  <si>
    <t xml:space="preserve">UTR20260000007</t>
  </si>
  <si>
    <t xml:space="preserve">BNK_2026_000008</t>
  </si>
  <si>
    <t xml:space="preserve">UTR20260000008</t>
  </si>
  <si>
    <t xml:space="preserve">BNK_2026_000009</t>
  </si>
  <si>
    <t xml:space="preserve">UTR20260000009</t>
  </si>
  <si>
    <t xml:space="preserve">BNK_2026_000010</t>
  </si>
  <si>
    <t xml:space="preserve">UTR20260000010</t>
  </si>
  <si>
    <t xml:space="preserve">BNK_2026_000011</t>
  </si>
  <si>
    <t xml:space="preserve">UTR20260000011</t>
  </si>
  <si>
    <t xml:space="preserve">BNK_2026_000012</t>
  </si>
  <si>
    <t xml:space="preserve">UTR20260000012</t>
  </si>
  <si>
    <t xml:space="preserve">BNK_2026_000013</t>
  </si>
  <si>
    <t xml:space="preserve">UTR20260000013</t>
  </si>
  <si>
    <t xml:space="preserve">BNK_2026_000014</t>
  </si>
  <si>
    <t xml:space="preserve">UTR20260000014</t>
  </si>
  <si>
    <t xml:space="preserve">BNK_2026_000015</t>
  </si>
  <si>
    <t xml:space="preserve">UTR20260000015</t>
  </si>
  <si>
    <t xml:space="preserve">BNK_2026_000016</t>
  </si>
  <si>
    <t xml:space="preserve">UTR20260000016</t>
  </si>
  <si>
    <t xml:space="preserve">BNK_2026_000017</t>
  </si>
  <si>
    <t xml:space="preserve">UTR20260000017</t>
  </si>
  <si>
    <t xml:space="preserve">BNK_2026_000018</t>
  </si>
  <si>
    <t xml:space="preserve">UTR20260000018</t>
  </si>
  <si>
    <t xml:space="preserve">BNK_2026_000019</t>
  </si>
  <si>
    <t xml:space="preserve">UTR20260000019</t>
  </si>
  <si>
    <t xml:space="preserve">BNK_2026_000020</t>
  </si>
  <si>
    <t xml:space="preserve">UTR20260000020</t>
  </si>
  <si>
    <t xml:space="preserve">BNK_2026_000021</t>
  </si>
  <si>
    <t xml:space="preserve">UTR20260000021</t>
  </si>
  <si>
    <t xml:space="preserve">BNK_2026_000022</t>
  </si>
  <si>
    <t xml:space="preserve">UTR20260000022</t>
  </si>
  <si>
    <t xml:space="preserve">BNK_2026_000023</t>
  </si>
  <si>
    <t xml:space="preserve">UTR20260000023</t>
  </si>
  <si>
    <t xml:space="preserve">BNK_2026_000024</t>
  </si>
  <si>
    <t xml:space="preserve">UTR20260000024</t>
  </si>
  <si>
    <t xml:space="preserve">BNK_2026_000025</t>
  </si>
  <si>
    <t xml:space="preserve">UTR20260000025</t>
  </si>
  <si>
    <t xml:space="preserve">BNK_2026_000026</t>
  </si>
  <si>
    <t xml:space="preserve">UTR20260000026</t>
  </si>
  <si>
    <t xml:space="preserve">BNK_2026_000027</t>
  </si>
  <si>
    <t xml:space="preserve">UTR20260000027</t>
  </si>
  <si>
    <t xml:space="preserve">BNK_2026_000028</t>
  </si>
  <si>
    <t xml:space="preserve">UTR20260000028</t>
  </si>
  <si>
    <t xml:space="preserve">BNK_2026_000029</t>
  </si>
  <si>
    <t xml:space="preserve">UTR20260000029</t>
  </si>
  <si>
    <t xml:space="preserve">BNK_2026_000030</t>
  </si>
  <si>
    <t xml:space="preserve">UTR20260000030</t>
  </si>
  <si>
    <t xml:space="preserve">BNK_2026_000031</t>
  </si>
  <si>
    <t xml:space="preserve">UTR20260000031</t>
  </si>
  <si>
    <t xml:space="preserve">BNK_2026_000032</t>
  </si>
  <si>
    <t xml:space="preserve">UTR20260000032</t>
  </si>
  <si>
    <t xml:space="preserve">BNK_2026_000033</t>
  </si>
  <si>
    <t xml:space="preserve">UTR20260000033</t>
  </si>
  <si>
    <t xml:space="preserve">BNK_2026_000034</t>
  </si>
  <si>
    <t xml:space="preserve">UTR20260000034</t>
  </si>
  <si>
    <t xml:space="preserve">BNK_2026_000035</t>
  </si>
  <si>
    <t xml:space="preserve">UTR20260000035</t>
  </si>
  <si>
    <t xml:space="preserve">BNK_2026_000036</t>
  </si>
  <si>
    <t xml:space="preserve">UTR20260000036</t>
  </si>
  <si>
    <t xml:space="preserve">BNK_2026_000037</t>
  </si>
  <si>
    <t xml:space="preserve">UTR20260000037</t>
  </si>
  <si>
    <t xml:space="preserve">BNK_2026_000038</t>
  </si>
  <si>
    <t xml:space="preserve">UTR20260000038</t>
  </si>
  <si>
    <t xml:space="preserve">BNK_2026_000039</t>
  </si>
  <si>
    <t xml:space="preserve">UTR20260000039</t>
  </si>
  <si>
    <t xml:space="preserve">BNK_2026_000040</t>
  </si>
  <si>
    <t xml:space="preserve">UTR20260000040</t>
  </si>
  <si>
    <t xml:space="preserve">BNK_2026_000041</t>
  </si>
  <si>
    <t xml:space="preserve">UTR20260000041</t>
  </si>
  <si>
    <t xml:space="preserve">BNK_2026_000042</t>
  </si>
  <si>
    <t xml:space="preserve">UTR20260000042</t>
  </si>
  <si>
    <t xml:space="preserve">BNK_2026_000043</t>
  </si>
  <si>
    <t xml:space="preserve">UTR20260000043</t>
  </si>
  <si>
    <t xml:space="preserve">BNK_2026_000044</t>
  </si>
  <si>
    <t xml:space="preserve">UTR20260000044</t>
  </si>
  <si>
    <t xml:space="preserve">BNK_2026_000045</t>
  </si>
  <si>
    <t xml:space="preserve">UTR20260000045</t>
  </si>
  <si>
    <t xml:space="preserve">BNK_2026_000046</t>
  </si>
  <si>
    <t xml:space="preserve">UTR20260000046</t>
  </si>
  <si>
    <t xml:space="preserve">BNK_2026_000047</t>
  </si>
  <si>
    <t xml:space="preserve">UTR20260000047</t>
  </si>
  <si>
    <t xml:space="preserve">BNK_2026_000048</t>
  </si>
  <si>
    <t xml:space="preserve">UTR20260000048</t>
  </si>
  <si>
    <t xml:space="preserve">BNK_2026_000049</t>
  </si>
  <si>
    <t xml:space="preserve">UTR20260000049</t>
  </si>
  <si>
    <t xml:space="preserve">BNK_2026_000050</t>
  </si>
  <si>
    <t xml:space="preserve">UTR20260000050</t>
  </si>
  <si>
    <t xml:space="preserve">BNK_2026_000051</t>
  </si>
  <si>
    <t xml:space="preserve">UTR20260000051</t>
  </si>
  <si>
    <t xml:space="preserve">BNK_2026_000052</t>
  </si>
  <si>
    <t xml:space="preserve">UTR20260000052</t>
  </si>
  <si>
    <t xml:space="preserve">BNK_2026_000053</t>
  </si>
  <si>
    <t xml:space="preserve">UTR20260000053</t>
  </si>
  <si>
    <t xml:space="preserve">BNK_2026_000054</t>
  </si>
  <si>
    <t xml:space="preserve">UTR20260000054</t>
  </si>
  <si>
    <t xml:space="preserve">BNK_2026_000055</t>
  </si>
  <si>
    <t xml:space="preserve">UTR20260000055</t>
  </si>
  <si>
    <t xml:space="preserve">BNK_2026_000056</t>
  </si>
  <si>
    <t xml:space="preserve">UTR20260000056</t>
  </si>
  <si>
    <t xml:space="preserve">BNK_2026_000057</t>
  </si>
  <si>
    <t xml:space="preserve">UTR20260000057</t>
  </si>
  <si>
    <t xml:space="preserve">BNK_2026_000058</t>
  </si>
  <si>
    <t xml:space="preserve">UTR20260000058</t>
  </si>
  <si>
    <t xml:space="preserve">BNK_2026_000059</t>
  </si>
  <si>
    <t xml:space="preserve">UTR20260000059</t>
  </si>
  <si>
    <t xml:space="preserve">BNK_2026_000060</t>
  </si>
  <si>
    <t xml:space="preserve">UTR20260000060</t>
  </si>
  <si>
    <t xml:space="preserve">BNK_2026_000061</t>
  </si>
  <si>
    <t xml:space="preserve">UTR20260000061</t>
  </si>
  <si>
    <t xml:space="preserve">BNK_2026_000062</t>
  </si>
  <si>
    <t xml:space="preserve">UTR20260000062</t>
  </si>
  <si>
    <t xml:space="preserve">BNK_2026_000063</t>
  </si>
  <si>
    <t xml:space="preserve">UTR20260000063</t>
  </si>
  <si>
    <t xml:space="preserve">BNK_2026_000064</t>
  </si>
  <si>
    <t xml:space="preserve">UTR20260000064</t>
  </si>
  <si>
    <t xml:space="preserve">BNK_2026_000065</t>
  </si>
  <si>
    <t xml:space="preserve">UTR20260000065</t>
  </si>
  <si>
    <t xml:space="preserve">BNK_2026_000066</t>
  </si>
  <si>
    <t xml:space="preserve">UTR20260000066</t>
  </si>
  <si>
    <t xml:space="preserve">BNK_2026_000067</t>
  </si>
  <si>
    <t xml:space="preserve">UTR20260000067</t>
  </si>
  <si>
    <t xml:space="preserve">BNK_2026_000068</t>
  </si>
  <si>
    <t xml:space="preserve">UTR20260000068</t>
  </si>
  <si>
    <t xml:space="preserve">BNK_2026_000069</t>
  </si>
  <si>
    <t xml:space="preserve">UTR20260000069</t>
  </si>
  <si>
    <t xml:space="preserve">BNK_2026_000070</t>
  </si>
  <si>
    <t xml:space="preserve">UTR20260000070</t>
  </si>
  <si>
    <t xml:space="preserve">BNK_2026_000071</t>
  </si>
  <si>
    <t xml:space="preserve">UTR20260000071</t>
  </si>
  <si>
    <t xml:space="preserve">BNK_2026_000072</t>
  </si>
  <si>
    <t xml:space="preserve">UTR20260000072</t>
  </si>
  <si>
    <t xml:space="preserve">BNK_2026_000073</t>
  </si>
  <si>
    <t xml:space="preserve">UTR20260000073</t>
  </si>
  <si>
    <t xml:space="preserve">BNK_2026_000074</t>
  </si>
  <si>
    <t xml:space="preserve">UTR20260000074</t>
  </si>
  <si>
    <t xml:space="preserve">BNK_2026_000075</t>
  </si>
  <si>
    <t xml:space="preserve">UTR20260000075</t>
  </si>
  <si>
    <t xml:space="preserve">BNK_2026_000076</t>
  </si>
  <si>
    <t xml:space="preserve">UTR20260000076</t>
  </si>
  <si>
    <t xml:space="preserve">BNK_2026_000077</t>
  </si>
  <si>
    <t xml:space="preserve">UTR20260000077</t>
  </si>
  <si>
    <t xml:space="preserve">BNK_2026_000078</t>
  </si>
  <si>
    <t xml:space="preserve">UTR20260000078</t>
  </si>
  <si>
    <t xml:space="preserve">BNK_2026_000079</t>
  </si>
  <si>
    <t xml:space="preserve">UTR20260000079</t>
  </si>
  <si>
    <t xml:space="preserve">BNK_2026_000080</t>
  </si>
  <si>
    <t xml:space="preserve">UTR20260000080</t>
  </si>
  <si>
    <t xml:space="preserve">BNK_2026_000081</t>
  </si>
  <si>
    <t xml:space="preserve">UTR20260000081</t>
  </si>
  <si>
    <t xml:space="preserve">BNK_2026_000082</t>
  </si>
  <si>
    <t xml:space="preserve">UTR20260000082</t>
  </si>
  <si>
    <t xml:space="preserve">BNK_2026_000083</t>
  </si>
  <si>
    <t xml:space="preserve">UTR20260000083</t>
  </si>
  <si>
    <t xml:space="preserve">BNK_2026_000084</t>
  </si>
  <si>
    <t xml:space="preserve">UTR20260000084</t>
  </si>
  <si>
    <t xml:space="preserve">BNK_2026_000085</t>
  </si>
  <si>
    <t xml:space="preserve">UTR20260000085</t>
  </si>
  <si>
    <t xml:space="preserve">BNK_2026_000086</t>
  </si>
  <si>
    <t xml:space="preserve">UTR20260000086</t>
  </si>
  <si>
    <t xml:space="preserve">BNK_2026_000087</t>
  </si>
  <si>
    <t xml:space="preserve">UTR20260000087</t>
  </si>
  <si>
    <t xml:space="preserve">BNK_2026_000088</t>
  </si>
  <si>
    <t xml:space="preserve">UTR20260000088</t>
  </si>
  <si>
    <t xml:space="preserve">BNK_2026_000089</t>
  </si>
  <si>
    <t xml:space="preserve">UTR20260000089</t>
  </si>
  <si>
    <t xml:space="preserve">BNK_2026_000090</t>
  </si>
  <si>
    <t xml:space="preserve">UTR20260000090</t>
  </si>
  <si>
    <t xml:space="preserve">BNK_2026_000091</t>
  </si>
  <si>
    <t xml:space="preserve">UTR20260000091</t>
  </si>
  <si>
    <t xml:space="preserve">BNK_2026_000092</t>
  </si>
  <si>
    <t xml:space="preserve">UTR20260000092</t>
  </si>
  <si>
    <t xml:space="preserve">BNK_2026_000093</t>
  </si>
  <si>
    <t xml:space="preserve">UTR20260000093</t>
  </si>
  <si>
    <t xml:space="preserve">BNK_2026_000094</t>
  </si>
  <si>
    <t xml:space="preserve">UTR20260000094</t>
  </si>
  <si>
    <t xml:space="preserve">BNK_2026_000095</t>
  </si>
  <si>
    <t xml:space="preserve">UTR20260000095</t>
  </si>
  <si>
    <t xml:space="preserve">BNK_2026_000096</t>
  </si>
  <si>
    <t xml:space="preserve">UTR20260000096</t>
  </si>
  <si>
    <t xml:space="preserve">BNK_2026_000097</t>
  </si>
  <si>
    <t xml:space="preserve">UTR20260000097</t>
  </si>
  <si>
    <t xml:space="preserve">BNK_2026_000098</t>
  </si>
  <si>
    <t xml:space="preserve">UTR20260000098</t>
  </si>
  <si>
    <t xml:space="preserve">BNK_2026_000099</t>
  </si>
  <si>
    <t xml:space="preserve">UTR20260000099</t>
  </si>
  <si>
    <t xml:space="preserve">BNK_2026_000100</t>
  </si>
  <si>
    <t xml:space="preserve">UTR20260000100</t>
  </si>
  <si>
    <t xml:space="preserve">BNK_2026_000101</t>
  </si>
  <si>
    <t xml:space="preserve">UTR20260000101</t>
  </si>
  <si>
    <t xml:space="preserve">BNK_2026_000102</t>
  </si>
  <si>
    <t xml:space="preserve">UTR20260000102</t>
  </si>
  <si>
    <t xml:space="preserve">BNK_2026_000103</t>
  </si>
  <si>
    <t xml:space="preserve">UTR20260000103</t>
  </si>
  <si>
    <t xml:space="preserve">BNK_2026_000104</t>
  </si>
  <si>
    <t xml:space="preserve">UTR20260000104</t>
  </si>
  <si>
    <t xml:space="preserve">BNK_2026_000105</t>
  </si>
  <si>
    <t xml:space="preserve">UTR20260000105</t>
  </si>
  <si>
    <t xml:space="preserve">BNK_2026_000106</t>
  </si>
  <si>
    <t xml:space="preserve">UTR20260000106</t>
  </si>
  <si>
    <t xml:space="preserve">BNK_2026_000107</t>
  </si>
  <si>
    <t xml:space="preserve">UTR20260000107</t>
  </si>
  <si>
    <t xml:space="preserve">BNK_2026_000108</t>
  </si>
  <si>
    <t xml:space="preserve">UTR20260000108</t>
  </si>
  <si>
    <t xml:space="preserve">BNK_2026_000109</t>
  </si>
  <si>
    <t xml:space="preserve">UTR20260000109</t>
  </si>
  <si>
    <t xml:space="preserve">BNK_2026_000110</t>
  </si>
  <si>
    <t xml:space="preserve">UTR20260000110</t>
  </si>
  <si>
    <t xml:space="preserve">BNK_2026_000111</t>
  </si>
  <si>
    <t xml:space="preserve">UTR20260000111</t>
  </si>
  <si>
    <t xml:space="preserve">BNK_2026_000112</t>
  </si>
  <si>
    <t xml:space="preserve">UTR20260000112</t>
  </si>
  <si>
    <t xml:space="preserve">BNK_2026_000113</t>
  </si>
  <si>
    <t xml:space="preserve">UTR20260000113</t>
  </si>
  <si>
    <t xml:space="preserve">BNK_2026_000114</t>
  </si>
  <si>
    <t xml:space="preserve">UTR20260000114</t>
  </si>
  <si>
    <t xml:space="preserve">BNK_2026_000115</t>
  </si>
  <si>
    <t xml:space="preserve">UTR20260000115</t>
  </si>
  <si>
    <t xml:space="preserve">BNK_2026_000116</t>
  </si>
  <si>
    <t xml:space="preserve">UTR20260000116</t>
  </si>
  <si>
    <t xml:space="preserve">BNK_2026_000117</t>
  </si>
  <si>
    <t xml:space="preserve">UTR20260000117</t>
  </si>
  <si>
    <t xml:space="preserve">BNK_2026_000118</t>
  </si>
  <si>
    <t xml:space="preserve">UTR20260000118</t>
  </si>
  <si>
    <t xml:space="preserve">BNK_2026_000119</t>
  </si>
  <si>
    <t xml:space="preserve">UTR20260000119</t>
  </si>
  <si>
    <t xml:space="preserve">BNK_2026_000120</t>
  </si>
  <si>
    <t xml:space="preserve">UTR20260000120</t>
  </si>
  <si>
    <t xml:space="preserve">BNK_2026_000121</t>
  </si>
  <si>
    <t xml:space="preserve">UTR20260000121</t>
  </si>
  <si>
    <t xml:space="preserve">BNK_2026_000122</t>
  </si>
  <si>
    <t xml:space="preserve">UTR20260000122</t>
  </si>
  <si>
    <t xml:space="preserve">BNK_2026_000123</t>
  </si>
  <si>
    <t xml:space="preserve">UTR20260000123</t>
  </si>
  <si>
    <t xml:space="preserve">BNK_2026_000124</t>
  </si>
  <si>
    <t xml:space="preserve">UTR20260000124</t>
  </si>
  <si>
    <t xml:space="preserve">BNK_2026_000125</t>
  </si>
  <si>
    <t xml:space="preserve">UTR20260000125</t>
  </si>
  <si>
    <t xml:space="preserve">BNK_2026_000126</t>
  </si>
  <si>
    <t xml:space="preserve">UTR20260000126</t>
  </si>
  <si>
    <t xml:space="preserve">BNK_2026_000127</t>
  </si>
  <si>
    <t xml:space="preserve">UTR20260000127</t>
  </si>
  <si>
    <t xml:space="preserve">BNK_2026_000128</t>
  </si>
  <si>
    <t xml:space="preserve">UTR20260000128</t>
  </si>
  <si>
    <t xml:space="preserve">BNK_2026_000129</t>
  </si>
  <si>
    <t xml:space="preserve">UTR20260000129</t>
  </si>
  <si>
    <t xml:space="preserve">BNK_2026_000130</t>
  </si>
  <si>
    <t xml:space="preserve">UTR20260000130</t>
  </si>
  <si>
    <t xml:space="preserve">BNK_2026_000131</t>
  </si>
  <si>
    <t xml:space="preserve">UTR20260000131</t>
  </si>
  <si>
    <t xml:space="preserve">BNK_2026_000132</t>
  </si>
  <si>
    <t xml:space="preserve">UTR20260000132</t>
  </si>
  <si>
    <t xml:space="preserve">BNK_2026_000133</t>
  </si>
  <si>
    <t xml:space="preserve">UTR20260000133</t>
  </si>
  <si>
    <t xml:space="preserve">BNK_2026_000134</t>
  </si>
  <si>
    <t xml:space="preserve">UTR20260000134</t>
  </si>
  <si>
    <t xml:space="preserve">BNK_2026_000135</t>
  </si>
  <si>
    <t xml:space="preserve">UTR20260000135</t>
  </si>
  <si>
    <t xml:space="preserve">BNK_2026_000136</t>
  </si>
  <si>
    <t xml:space="preserve">UTR20260000136</t>
  </si>
  <si>
    <t xml:space="preserve">BNK_2026_000137</t>
  </si>
  <si>
    <t xml:space="preserve">UTR20260000137</t>
  </si>
  <si>
    <t xml:space="preserve">BNK_2026_000138</t>
  </si>
  <si>
    <t xml:space="preserve">UTR20260000138</t>
  </si>
  <si>
    <t xml:space="preserve">BNK_2026_000139</t>
  </si>
  <si>
    <t xml:space="preserve">UTR20260000139</t>
  </si>
  <si>
    <t xml:space="preserve">BNK_2026_000140</t>
  </si>
  <si>
    <t xml:space="preserve">UTR20260000140</t>
  </si>
  <si>
    <t xml:space="preserve">BNK_2026_000141</t>
  </si>
  <si>
    <t xml:space="preserve">UTR20260000141</t>
  </si>
  <si>
    <t xml:space="preserve">BNK_2026_000142</t>
  </si>
  <si>
    <t xml:space="preserve">UTR20260000142</t>
  </si>
  <si>
    <t xml:space="preserve">BNK_2026_000143</t>
  </si>
  <si>
    <t xml:space="preserve">UTR20260000143</t>
  </si>
  <si>
    <t xml:space="preserve">BNK_2026_000144</t>
  </si>
  <si>
    <t xml:space="preserve">UTR20260000144</t>
  </si>
  <si>
    <t xml:space="preserve">BNK_2026_000145</t>
  </si>
  <si>
    <t xml:space="preserve">UTR20260000145</t>
  </si>
  <si>
    <t xml:space="preserve">BNK_2026_000146</t>
  </si>
  <si>
    <t xml:space="preserve">UTR20260000146</t>
  </si>
  <si>
    <t xml:space="preserve">BNK_2026_000147</t>
  </si>
  <si>
    <t xml:space="preserve">UTR20260000147</t>
  </si>
  <si>
    <t xml:space="preserve">BNK_2026_000148</t>
  </si>
  <si>
    <t xml:space="preserve">UTR20260000148</t>
  </si>
  <si>
    <t xml:space="preserve">BNK_2026_000149</t>
  </si>
  <si>
    <t xml:space="preserve">UTR20260000149</t>
  </si>
  <si>
    <t xml:space="preserve">BNK_2026_000150</t>
  </si>
  <si>
    <t xml:space="preserve">UTR20260000150</t>
  </si>
  <si>
    <t xml:space="preserve">BNK_2026_000151</t>
  </si>
  <si>
    <t xml:space="preserve">UTR20260000151</t>
  </si>
  <si>
    <t xml:space="preserve">BNK_2026_000152</t>
  </si>
  <si>
    <t xml:space="preserve">UTR20260000152</t>
  </si>
  <si>
    <t xml:space="preserve">BNK_2026_000153</t>
  </si>
  <si>
    <t xml:space="preserve">UTR20260000153</t>
  </si>
  <si>
    <t xml:space="preserve">BNK_2026_000154</t>
  </si>
  <si>
    <t xml:space="preserve">UTR20260000154</t>
  </si>
  <si>
    <t xml:space="preserve">BNK_2026_000155</t>
  </si>
  <si>
    <t xml:space="preserve">UTR20260000155</t>
  </si>
  <si>
    <t xml:space="preserve">BNK_2026_000156</t>
  </si>
  <si>
    <t xml:space="preserve">UTR20260000156</t>
  </si>
  <si>
    <t xml:space="preserve">BNK_2026_000157</t>
  </si>
  <si>
    <t xml:space="preserve">UTR20260000157</t>
  </si>
  <si>
    <t xml:space="preserve">BNK_2026_000158</t>
  </si>
  <si>
    <t xml:space="preserve">UTR20260000158</t>
  </si>
  <si>
    <t xml:space="preserve">BNK_2026_000159</t>
  </si>
  <si>
    <t xml:space="preserve">UTR20260000159</t>
  </si>
  <si>
    <t xml:space="preserve">BNK_2026_000160</t>
  </si>
  <si>
    <t xml:space="preserve">UTR20260000160</t>
  </si>
  <si>
    <t xml:space="preserve">BNK_2026_000161</t>
  </si>
  <si>
    <t xml:space="preserve">UTR20260000161</t>
  </si>
  <si>
    <t xml:space="preserve">BNK_2026_000162</t>
  </si>
  <si>
    <t xml:space="preserve">UTR20260000162</t>
  </si>
  <si>
    <t xml:space="preserve">BNK_2026_000163</t>
  </si>
  <si>
    <t xml:space="preserve">UTR20260000163</t>
  </si>
  <si>
    <t xml:space="preserve">BNK_2026_000164</t>
  </si>
  <si>
    <t xml:space="preserve">UTR20260000164</t>
  </si>
  <si>
    <t xml:space="preserve">BNK_2026_000165</t>
  </si>
  <si>
    <t xml:space="preserve">UTR20260000165</t>
  </si>
  <si>
    <t xml:space="preserve">BNK_2026_000166</t>
  </si>
  <si>
    <t xml:space="preserve">UTR20260000166</t>
  </si>
  <si>
    <t xml:space="preserve">BNK_2026_000167</t>
  </si>
  <si>
    <t xml:space="preserve">UTR20260000167</t>
  </si>
  <si>
    <t xml:space="preserve">BNK_2026_000168</t>
  </si>
  <si>
    <t xml:space="preserve">UTR20260000168</t>
  </si>
  <si>
    <t xml:space="preserve">BNK_2026_000169</t>
  </si>
  <si>
    <t xml:space="preserve">UTR20260000169</t>
  </si>
  <si>
    <t xml:space="preserve">BNK_2026_000170</t>
  </si>
  <si>
    <t xml:space="preserve">UTR20260000170</t>
  </si>
  <si>
    <t xml:space="preserve">BNK_2026_000171</t>
  </si>
  <si>
    <t xml:space="preserve">UTR20260000171</t>
  </si>
  <si>
    <t xml:space="preserve">BNK_2026_000172</t>
  </si>
  <si>
    <t xml:space="preserve">UTR20260000172</t>
  </si>
  <si>
    <t xml:space="preserve">BNK_2026_000173</t>
  </si>
  <si>
    <t xml:space="preserve">UTR20260000173</t>
  </si>
  <si>
    <t xml:space="preserve">BNK_2026_000174</t>
  </si>
  <si>
    <t xml:space="preserve">UTR20260000174</t>
  </si>
  <si>
    <t xml:space="preserve">BNK_2026_000175</t>
  </si>
  <si>
    <t xml:space="preserve">UTR20260000175</t>
  </si>
  <si>
    <t xml:space="preserve">BNK_2026_000176</t>
  </si>
  <si>
    <t xml:space="preserve">UTR20260000176</t>
  </si>
  <si>
    <t xml:space="preserve">STLREF_000176</t>
  </si>
  <si>
    <t xml:space="preserve">TXN_2026_000176</t>
  </si>
  <si>
    <t xml:space="preserve">BNK_2026_000177</t>
  </si>
  <si>
    <t xml:space="preserve">UTR20260000177</t>
  </si>
  <si>
    <t xml:space="preserve">STLREF_000177</t>
  </si>
  <si>
    <t xml:space="preserve">TXN_2026_000177</t>
  </si>
  <si>
    <t xml:space="preserve">BNK_2026_000178</t>
  </si>
  <si>
    <t xml:space="preserve">UTR20260000178</t>
  </si>
  <si>
    <t xml:space="preserve">STLREF_000178</t>
  </si>
  <si>
    <t xml:space="preserve">TXN_2026_000178</t>
  </si>
  <si>
    <t xml:space="preserve">BNK_2026_000179</t>
  </si>
  <si>
    <t xml:space="preserve">UTR20260000179</t>
  </si>
  <si>
    <t xml:space="preserve">STLREF_000179</t>
  </si>
  <si>
    <t xml:space="preserve">TXN_2026_000179</t>
  </si>
  <si>
    <t xml:space="preserve">BNK_2026_000180</t>
  </si>
  <si>
    <t xml:space="preserve">UTR20260000180</t>
  </si>
  <si>
    <t xml:space="preserve">STLREF_000180</t>
  </si>
  <si>
    <t xml:space="preserve">TXN_2026_000180</t>
  </si>
  <si>
    <t xml:space="preserve">BNK_2026_000181</t>
  </si>
  <si>
    <t xml:space="preserve">UTR20260000181</t>
  </si>
  <si>
    <t xml:space="preserve">STLREF_000181</t>
  </si>
  <si>
    <t xml:space="preserve">TXN_2026_000181</t>
  </si>
  <si>
    <t xml:space="preserve">BNK_2026_000182</t>
  </si>
  <si>
    <t xml:space="preserve">UTR20260000182</t>
  </si>
  <si>
    <t xml:space="preserve">STLREF_000182</t>
  </si>
  <si>
    <t xml:space="preserve">TXN_2026_000182</t>
  </si>
  <si>
    <t xml:space="preserve">BNK_2026_000183</t>
  </si>
  <si>
    <t xml:space="preserve">UTR20260000183</t>
  </si>
  <si>
    <t xml:space="preserve">STLREF_000183</t>
  </si>
  <si>
    <t xml:space="preserve">TXN_2026_000183</t>
  </si>
  <si>
    <t xml:space="preserve">BNK_2026_000184</t>
  </si>
  <si>
    <t xml:space="preserve">UTR20260000184</t>
  </si>
  <si>
    <t xml:space="preserve">STLREF_000184</t>
  </si>
  <si>
    <t xml:space="preserve">TXN_2026_000184</t>
  </si>
  <si>
    <t xml:space="preserve">BNK_2026_000185</t>
  </si>
  <si>
    <t xml:space="preserve">UTR20260000185</t>
  </si>
  <si>
    <t xml:space="preserve">STLREF_000185</t>
  </si>
  <si>
    <t xml:space="preserve">TXN_2026_000185</t>
  </si>
  <si>
    <t xml:space="preserve">BNK_2026_000186</t>
  </si>
  <si>
    <t xml:space="preserve">UTR20260000186</t>
  </si>
  <si>
    <t xml:space="preserve">STLREF_000186</t>
  </si>
  <si>
    <t xml:space="preserve">TXN_2026_000186</t>
  </si>
  <si>
    <t xml:space="preserve">BNK_2026_000187</t>
  </si>
  <si>
    <t xml:space="preserve">UTR20260000187</t>
  </si>
  <si>
    <t xml:space="preserve">STLREF_000187</t>
  </si>
  <si>
    <t xml:space="preserve">TXN_2026_000187</t>
  </si>
  <si>
    <t xml:space="preserve">BNK_2026_000188</t>
  </si>
  <si>
    <t xml:space="preserve">UTR20260000188</t>
  </si>
  <si>
    <t xml:space="preserve">STLREF_000188</t>
  </si>
  <si>
    <t xml:space="preserve">TXN_2026_000188</t>
  </si>
  <si>
    <t xml:space="preserve">BNK_2026_000189</t>
  </si>
  <si>
    <t xml:space="preserve">UTR20260000189</t>
  </si>
  <si>
    <t xml:space="preserve">STLREF_000189</t>
  </si>
  <si>
    <t xml:space="preserve">TXN_2026_000189</t>
  </si>
  <si>
    <t xml:space="preserve">BNK_2026_000190</t>
  </si>
  <si>
    <t xml:space="preserve">UTR20260000190</t>
  </si>
  <si>
    <t xml:space="preserve">STLREF_000190</t>
  </si>
  <si>
    <t xml:space="preserve">TXN_2026_000190</t>
  </si>
  <si>
    <t xml:space="preserve">BNK_2026_000191</t>
  </si>
  <si>
    <t xml:space="preserve">UTR20260000191</t>
  </si>
  <si>
    <t xml:space="preserve">STLREF_000191</t>
  </si>
  <si>
    <t xml:space="preserve">TXN_2026_000191</t>
  </si>
  <si>
    <t xml:space="preserve">BNK_2026_000192</t>
  </si>
  <si>
    <t xml:space="preserve">UTR20260000192</t>
  </si>
  <si>
    <t xml:space="preserve">STLREF_000192</t>
  </si>
  <si>
    <t xml:space="preserve">TXN_2026_000192</t>
  </si>
  <si>
    <t xml:space="preserve">BNK_2026_000193</t>
  </si>
  <si>
    <t xml:space="preserve">UTR20260000193</t>
  </si>
  <si>
    <t xml:space="preserve">STLREF_000193</t>
  </si>
  <si>
    <t xml:space="preserve">TXN_2026_000193</t>
  </si>
  <si>
    <t xml:space="preserve">BNK_2026_000194</t>
  </si>
  <si>
    <t xml:space="preserve">UTR20260000194</t>
  </si>
  <si>
    <t xml:space="preserve">STLREF_000194</t>
  </si>
  <si>
    <t xml:space="preserve">TXN_2026_000194</t>
  </si>
  <si>
    <t xml:space="preserve">BNK_2026_000195</t>
  </si>
  <si>
    <t xml:space="preserve">UTR20260000195</t>
  </si>
  <si>
    <t xml:space="preserve">STLREF_000195</t>
  </si>
  <si>
    <t xml:space="preserve">TXN_2026_000195</t>
  </si>
  <si>
    <t xml:space="preserve">BNK_2026_000196</t>
  </si>
  <si>
    <t xml:space="preserve">UTR20260000196</t>
  </si>
  <si>
    <t xml:space="preserve">STLREF_000196</t>
  </si>
  <si>
    <t xml:space="preserve">TXN_2026_000196</t>
  </si>
  <si>
    <t xml:space="preserve">BNK_2026_000197</t>
  </si>
  <si>
    <t xml:space="preserve">UTR20260000197</t>
  </si>
  <si>
    <t xml:space="preserve">STLREF_000197</t>
  </si>
  <si>
    <t xml:space="preserve">TXN_2026_000197</t>
  </si>
  <si>
    <t xml:space="preserve">BNK_2026_000198</t>
  </si>
  <si>
    <t xml:space="preserve">UTR20260000198</t>
  </si>
  <si>
    <t xml:space="preserve">STLREF_000198</t>
  </si>
  <si>
    <t xml:space="preserve">TXN_2026_000198</t>
  </si>
  <si>
    <t xml:space="preserve">BNK_2026_000199</t>
  </si>
  <si>
    <t xml:space="preserve">UTR20260000199</t>
  </si>
  <si>
    <t xml:space="preserve">STLREF_000199</t>
  </si>
  <si>
    <t xml:space="preserve">TXN_2026_000199</t>
  </si>
  <si>
    <t xml:space="preserve">BNK_2026_000200</t>
  </si>
  <si>
    <t xml:space="preserve">UTR20260000200</t>
  </si>
  <si>
    <t xml:space="preserve">STLREF_000200</t>
  </si>
  <si>
    <t xml:space="preserve">TXN_2026_000200</t>
  </si>
  <si>
    <t xml:space="preserve">Refund ID</t>
  </si>
  <si>
    <t xml:space="preserve">Original Txn ID</t>
  </si>
  <si>
    <t xml:space="preserve">Refund Ref</t>
  </si>
  <si>
    <t xml:space="preserve">Refund Status</t>
  </si>
  <si>
    <t xml:space="preserve">Refund Reason</t>
  </si>
  <si>
    <t xml:space="preserve">Requested Refund (INR)</t>
  </si>
  <si>
    <t xml:space="preserve">Settled Deduction (INR)</t>
  </si>
  <si>
    <t xml:space="preserve">Refund Variance [Auto]</t>
  </si>
  <si>
    <t xml:space="preserve">REF_2026_00001</t>
  </si>
  <si>
    <t xml:space="preserve">TXN_2026_009856</t>
  </si>
  <si>
    <t xml:space="preserve">REFREF_00001</t>
  </si>
  <si>
    <t xml:space="preserve">PROCESSED_MISMATCH</t>
  </si>
  <si>
    <t xml:space="preserve">CUSTOMER_RETURN_PARTIAL</t>
  </si>
  <si>
    <t xml:space="preserve">REF_2026_00002</t>
  </si>
  <si>
    <t xml:space="preserve">TXN_2026_009857</t>
  </si>
  <si>
    <t xml:space="preserve">REFREF_00002</t>
  </si>
  <si>
    <t xml:space="preserve">REF_2026_00003</t>
  </si>
  <si>
    <t xml:space="preserve">TXN_2026_009858</t>
  </si>
  <si>
    <t xml:space="preserve">REFREF_00003</t>
  </si>
  <si>
    <t xml:space="preserve">REF_2026_00004</t>
  </si>
  <si>
    <t xml:space="preserve">TXN_2026_009859</t>
  </si>
  <si>
    <t xml:space="preserve">REFREF_00004</t>
  </si>
  <si>
    <t xml:space="preserve">REF_2026_00005</t>
  </si>
  <si>
    <t xml:space="preserve">TXN_2026_009860</t>
  </si>
  <si>
    <t xml:space="preserve">REFREF_00005</t>
  </si>
  <si>
    <t xml:space="preserve">REF_2026_00006</t>
  </si>
  <si>
    <t xml:space="preserve">TXN_2026_009861</t>
  </si>
  <si>
    <t xml:space="preserve">REFREF_00006</t>
  </si>
  <si>
    <t xml:space="preserve">REF_2026_00007</t>
  </si>
  <si>
    <t xml:space="preserve">TXN_2026_009862</t>
  </si>
  <si>
    <t xml:space="preserve">REFREF_00007</t>
  </si>
  <si>
    <t xml:space="preserve">REF_2026_00008</t>
  </si>
  <si>
    <t xml:space="preserve">TXN_2026_009863</t>
  </si>
  <si>
    <t xml:space="preserve">REFREF_00008</t>
  </si>
  <si>
    <t xml:space="preserve">REF_2026_00009</t>
  </si>
  <si>
    <t xml:space="preserve">TXN_2026_009864</t>
  </si>
  <si>
    <t xml:space="preserve">REFREF_00009</t>
  </si>
  <si>
    <t xml:space="preserve">REF_2026_00010</t>
  </si>
  <si>
    <t xml:space="preserve">TXN_2026_009865</t>
  </si>
  <si>
    <t xml:space="preserve">REFREF_00010</t>
  </si>
  <si>
    <t xml:space="preserve">REF_2026_00011</t>
  </si>
  <si>
    <t xml:space="preserve">TXN_2026_009866</t>
  </si>
  <si>
    <t xml:space="preserve">REFREF_00011</t>
  </si>
  <si>
    <t xml:space="preserve">REF_2026_00012</t>
  </si>
  <si>
    <t xml:space="preserve">TXN_2026_009867</t>
  </si>
  <si>
    <t xml:space="preserve">REFREF_00012</t>
  </si>
  <si>
    <t xml:space="preserve">REF_2026_00013</t>
  </si>
  <si>
    <t xml:space="preserve">TXN_2026_009868</t>
  </si>
  <si>
    <t xml:space="preserve">REFREF_00013</t>
  </si>
  <si>
    <t xml:space="preserve">REF_2026_00014</t>
  </si>
  <si>
    <t xml:space="preserve">TXN_2026_009869</t>
  </si>
  <si>
    <t xml:space="preserve">REFREF_00014</t>
  </si>
  <si>
    <t xml:space="preserve">REF_2026_00015</t>
  </si>
  <si>
    <t xml:space="preserve">TXN_2026_009870</t>
  </si>
  <si>
    <t xml:space="preserve">REFREF_00015</t>
  </si>
  <si>
    <t xml:space="preserve">REF_2026_00016</t>
  </si>
  <si>
    <t xml:space="preserve">TXN_2026_009871</t>
  </si>
  <si>
    <t xml:space="preserve">REFREF_00016</t>
  </si>
  <si>
    <t xml:space="preserve">REF_2026_00017</t>
  </si>
  <si>
    <t xml:space="preserve">TXN_2026_009872</t>
  </si>
  <si>
    <t xml:space="preserve">REFREF_00017</t>
  </si>
  <si>
    <t xml:space="preserve">REF_2026_00018</t>
  </si>
  <si>
    <t xml:space="preserve">TXN_2026_009873</t>
  </si>
  <si>
    <t xml:space="preserve">REFREF_00018</t>
  </si>
  <si>
    <t xml:space="preserve">REF_2026_00019</t>
  </si>
  <si>
    <t xml:space="preserve">TXN_2026_009874</t>
  </si>
  <si>
    <t xml:space="preserve">REFREF_00019</t>
  </si>
  <si>
    <t xml:space="preserve">REF_2026_00020</t>
  </si>
  <si>
    <t xml:space="preserve">TXN_2026_009875</t>
  </si>
  <si>
    <t xml:space="preserve">REFREF_00020</t>
  </si>
  <si>
    <t xml:space="preserve">REF_2026_00021</t>
  </si>
  <si>
    <t xml:space="preserve">TXN_2026_009876</t>
  </si>
  <si>
    <t xml:space="preserve">REFREF_00021</t>
  </si>
  <si>
    <t xml:space="preserve">REF_2026_00022</t>
  </si>
  <si>
    <t xml:space="preserve">TXN_2026_009877</t>
  </si>
  <si>
    <t xml:space="preserve">REFREF_00022</t>
  </si>
  <si>
    <t xml:space="preserve">REF_2026_00023</t>
  </si>
  <si>
    <t xml:space="preserve">TXN_2026_009878</t>
  </si>
  <si>
    <t xml:space="preserve">REFREF_00023</t>
  </si>
  <si>
    <t xml:space="preserve">REF_2026_00024</t>
  </si>
  <si>
    <t xml:space="preserve">TXN_2026_009879</t>
  </si>
  <si>
    <t xml:space="preserve">REFREF_00024</t>
  </si>
  <si>
    <t xml:space="preserve">REF_2026_00025</t>
  </si>
  <si>
    <t xml:space="preserve">TXN_2026_009880</t>
  </si>
  <si>
    <t xml:space="preserve">REFREF_00025</t>
  </si>
  <si>
    <t xml:space="preserve">REF_2026_00026</t>
  </si>
  <si>
    <t xml:space="preserve">TXN_2026_009881</t>
  </si>
  <si>
    <t xml:space="preserve">REFREF_00026</t>
  </si>
  <si>
    <t xml:space="preserve">REF_2026_00027</t>
  </si>
  <si>
    <t xml:space="preserve">TXN_2026_009882</t>
  </si>
  <si>
    <t xml:space="preserve">REFREF_00027</t>
  </si>
  <si>
    <t xml:space="preserve">REF_2026_00028</t>
  </si>
  <si>
    <t xml:space="preserve">TXN_2026_009883</t>
  </si>
  <si>
    <t xml:space="preserve">REFREF_00028</t>
  </si>
  <si>
    <t xml:space="preserve">REF_2026_00029</t>
  </si>
  <si>
    <t xml:space="preserve">TXN_2026_009884</t>
  </si>
  <si>
    <t xml:space="preserve">REFREF_00029</t>
  </si>
  <si>
    <t xml:space="preserve">REF_2026_00030</t>
  </si>
  <si>
    <t xml:space="preserve">TXN_2026_009885</t>
  </si>
  <si>
    <t xml:space="preserve">REFREF_00030</t>
  </si>
  <si>
    <t xml:space="preserve">REF_2026_00031</t>
  </si>
  <si>
    <t xml:space="preserve">TXN_2026_009886</t>
  </si>
  <si>
    <t xml:space="preserve">REFREF_00031</t>
  </si>
  <si>
    <t xml:space="preserve">REF_2026_00032</t>
  </si>
  <si>
    <t xml:space="preserve">TXN_2026_009887</t>
  </si>
  <si>
    <t xml:space="preserve">REFREF_00032</t>
  </si>
  <si>
    <t xml:space="preserve">REF_2026_00033</t>
  </si>
  <si>
    <t xml:space="preserve">TXN_2026_009888</t>
  </si>
  <si>
    <t xml:space="preserve">REFREF_00033</t>
  </si>
  <si>
    <t xml:space="preserve">REF_2026_00034</t>
  </si>
  <si>
    <t xml:space="preserve">TXN_2026_009889</t>
  </si>
  <si>
    <t xml:space="preserve">REFREF_00034</t>
  </si>
  <si>
    <t xml:space="preserve">REF_2026_00035</t>
  </si>
  <si>
    <t xml:space="preserve">TXN_2026_009890</t>
  </si>
  <si>
    <t xml:space="preserve">REFREF_00035</t>
  </si>
  <si>
    <t xml:space="preserve">REF_2026_00036</t>
  </si>
  <si>
    <t xml:space="preserve">TXN_2026_009891</t>
  </si>
  <si>
    <t xml:space="preserve">REFREF_00036</t>
  </si>
  <si>
    <t xml:space="preserve">REF_2026_00037</t>
  </si>
  <si>
    <t xml:space="preserve">TXN_2026_009892</t>
  </si>
  <si>
    <t xml:space="preserve">REFREF_00037</t>
  </si>
  <si>
    <t xml:space="preserve">REF_2026_00038</t>
  </si>
  <si>
    <t xml:space="preserve">TXN_2026_009893</t>
  </si>
  <si>
    <t xml:space="preserve">REFREF_00038</t>
  </si>
  <si>
    <t xml:space="preserve">REF_2026_00039</t>
  </si>
  <si>
    <t xml:space="preserve">TXN_2026_009894</t>
  </si>
  <si>
    <t xml:space="preserve">REFREF_00039</t>
  </si>
  <si>
    <t xml:space="preserve">REF_2026_00040</t>
  </si>
  <si>
    <t xml:space="preserve">TXN_2026_009895</t>
  </si>
  <si>
    <t xml:space="preserve">REFREF_00040</t>
  </si>
  <si>
    <t xml:space="preserve">REF_2026_00041</t>
  </si>
  <si>
    <t xml:space="preserve">TXN_2026_009896</t>
  </si>
  <si>
    <t xml:space="preserve">REFREF_00041</t>
  </si>
  <si>
    <t xml:space="preserve">FAILED_UNREVERSED</t>
  </si>
  <si>
    <t xml:space="preserve">ISSUER_DECLINED_REFUND</t>
  </si>
  <si>
    <t xml:space="preserve">REF_2026_00042</t>
  </si>
  <si>
    <t xml:space="preserve">TXN_2026_009897</t>
  </si>
  <si>
    <t xml:space="preserve">REFREF_00042</t>
  </si>
  <si>
    <t xml:space="preserve">REF_2026_00043</t>
  </si>
  <si>
    <t xml:space="preserve">TXN_2026_009898</t>
  </si>
  <si>
    <t xml:space="preserve">REFREF_00043</t>
  </si>
  <si>
    <t xml:space="preserve">REF_2026_00044</t>
  </si>
  <si>
    <t xml:space="preserve">TXN_2026_009899</t>
  </si>
  <si>
    <t xml:space="preserve">REFREF_00044</t>
  </si>
  <si>
    <t xml:space="preserve">REF_2026_00045</t>
  </si>
  <si>
    <t xml:space="preserve">TXN_2026_009900</t>
  </si>
  <si>
    <t xml:space="preserve">REFREF_00045</t>
  </si>
  <si>
    <t xml:space="preserve">REF_2026_00046</t>
  </si>
  <si>
    <t xml:space="preserve">TXN_2026_009901</t>
  </si>
  <si>
    <t xml:space="preserve">REFREF_00046</t>
  </si>
  <si>
    <t xml:space="preserve">REF_2026_00047</t>
  </si>
  <si>
    <t xml:space="preserve">TXN_2026_009902</t>
  </si>
  <si>
    <t xml:space="preserve">REFREF_00047</t>
  </si>
  <si>
    <t xml:space="preserve">REF_2026_00048</t>
  </si>
  <si>
    <t xml:space="preserve">TXN_2026_009903</t>
  </si>
  <si>
    <t xml:space="preserve">REFREF_00048</t>
  </si>
  <si>
    <t xml:space="preserve">REF_2026_00049</t>
  </si>
  <si>
    <t xml:space="preserve">TXN_2026_009904</t>
  </si>
  <si>
    <t xml:space="preserve">REFREF_00049</t>
  </si>
  <si>
    <t xml:space="preserve">REF_2026_00050</t>
  </si>
  <si>
    <t xml:space="preserve">TXN_2026_009905</t>
  </si>
  <si>
    <t xml:space="preserve">REFREF_00050</t>
  </si>
  <si>
    <t xml:space="preserve">REF_2026_00051</t>
  </si>
  <si>
    <t xml:space="preserve">TXN_2026_009906</t>
  </si>
  <si>
    <t xml:space="preserve">REFREF_00051</t>
  </si>
  <si>
    <t xml:space="preserve">REF_2026_00052</t>
  </si>
  <si>
    <t xml:space="preserve">TXN_2026_009907</t>
  </si>
  <si>
    <t xml:space="preserve">REFREF_00052</t>
  </si>
  <si>
    <t xml:space="preserve">REF_2026_00053</t>
  </si>
  <si>
    <t xml:space="preserve">TXN_2026_009908</t>
  </si>
  <si>
    <t xml:space="preserve">REFREF_00053</t>
  </si>
  <si>
    <t xml:space="preserve">REF_2026_00054</t>
  </si>
  <si>
    <t xml:space="preserve">TXN_2026_009909</t>
  </si>
  <si>
    <t xml:space="preserve">REFREF_00054</t>
  </si>
  <si>
    <t xml:space="preserve">REF_2026_00055</t>
  </si>
  <si>
    <t xml:space="preserve">TXN_2026_009910</t>
  </si>
  <si>
    <t xml:space="preserve">REFREF_00055</t>
  </si>
  <si>
    <t xml:space="preserve">REF_2026_00056</t>
  </si>
  <si>
    <t xml:space="preserve">TXN_2026_009911</t>
  </si>
  <si>
    <t xml:space="preserve">REFREF_00056</t>
  </si>
  <si>
    <t xml:space="preserve">ORDER_CANCELLED</t>
  </si>
  <si>
    <t xml:space="preserve">REF_2026_00057</t>
  </si>
  <si>
    <t xml:space="preserve">TXN_2026_009912</t>
  </si>
  <si>
    <t xml:space="preserve">REFREF_00057</t>
  </si>
  <si>
    <t xml:space="preserve">REF_2026_00058</t>
  </si>
  <si>
    <t xml:space="preserve">TXN_2026_009913</t>
  </si>
  <si>
    <t xml:space="preserve">REFREF_00058</t>
  </si>
  <si>
    <t xml:space="preserve">REF_2026_00059</t>
  </si>
  <si>
    <t xml:space="preserve">TXN_2026_009914</t>
  </si>
  <si>
    <t xml:space="preserve">REFREF_00059</t>
  </si>
  <si>
    <t xml:space="preserve">REF_2026_00060</t>
  </si>
  <si>
    <t xml:space="preserve">TXN_2026_009915</t>
  </si>
  <si>
    <t xml:space="preserve">REFREF_00060</t>
  </si>
  <si>
    <t xml:space="preserve">REF_2026_00061</t>
  </si>
  <si>
    <t xml:space="preserve">TXN_2026_009916</t>
  </si>
  <si>
    <t xml:space="preserve">REFREF_00061</t>
  </si>
  <si>
    <t xml:space="preserve">REF_2026_00062</t>
  </si>
  <si>
    <t xml:space="preserve">TXN_2026_009917</t>
  </si>
  <si>
    <t xml:space="preserve">REFREF_00062</t>
  </si>
  <si>
    <t xml:space="preserve">REF_2026_00063</t>
  </si>
  <si>
    <t xml:space="preserve">TXN_2026_009918</t>
  </si>
  <si>
    <t xml:space="preserve">REFREF_00063</t>
  </si>
  <si>
    <t xml:space="preserve">REF_2026_00064</t>
  </si>
  <si>
    <t xml:space="preserve">TXN_2026_009919</t>
  </si>
  <si>
    <t xml:space="preserve">REFREF_00064</t>
  </si>
  <si>
    <t xml:space="preserve">REF_2026_00065</t>
  </si>
  <si>
    <t xml:space="preserve">TXN_2026_009920</t>
  </si>
  <si>
    <t xml:space="preserve">REFREF_00065</t>
  </si>
  <si>
    <t xml:space="preserve">REF_2026_00066</t>
  </si>
  <si>
    <t xml:space="preserve">TXN_2026_009921</t>
  </si>
  <si>
    <t xml:space="preserve">REFREF_00066</t>
  </si>
  <si>
    <t xml:space="preserve">REF_2026_00067</t>
  </si>
  <si>
    <t xml:space="preserve">TXN_2026_009922</t>
  </si>
  <si>
    <t xml:space="preserve">REFREF_00067</t>
  </si>
  <si>
    <t xml:space="preserve">REF_2026_00068</t>
  </si>
  <si>
    <t xml:space="preserve">TXN_2026_009923</t>
  </si>
  <si>
    <t xml:space="preserve">REFREF_00068</t>
  </si>
  <si>
    <t xml:space="preserve">REF_2026_00069</t>
  </si>
  <si>
    <t xml:space="preserve">TXN_2026_009924</t>
  </si>
  <si>
    <t xml:space="preserve">REFREF_00069</t>
  </si>
  <si>
    <t xml:space="preserve">REF_2026_00070</t>
  </si>
  <si>
    <t xml:space="preserve">TXN_2026_009925</t>
  </si>
  <si>
    <t xml:space="preserve">REFREF_00070</t>
  </si>
  <si>
    <t xml:space="preserve">REF_2026_00071</t>
  </si>
  <si>
    <t xml:space="preserve">REFREF_00071</t>
  </si>
  <si>
    <t xml:space="preserve">PROCESSED_CLEAN_STANDALONE</t>
  </si>
  <si>
    <t xml:space="preserve">CUSTOMER_RETURN</t>
  </si>
  <si>
    <t xml:space="preserve">REF_2026_00072</t>
  </si>
  <si>
    <t xml:space="preserve">REFREF_00072</t>
  </si>
  <si>
    <t xml:space="preserve">REF_2026_00073</t>
  </si>
  <si>
    <t xml:space="preserve">REFREF_00073</t>
  </si>
  <si>
    <t xml:space="preserve">REF_2026_00074</t>
  </si>
  <si>
    <t xml:space="preserve">REFREF_00074</t>
  </si>
  <si>
    <t xml:space="preserve">REF_2026_00075</t>
  </si>
  <si>
    <t xml:space="preserve">REFREF_00075</t>
  </si>
  <si>
    <t xml:space="preserve">REF_2026_00076</t>
  </si>
  <si>
    <t xml:space="preserve">REFREF_00076</t>
  </si>
  <si>
    <t xml:space="preserve">REF_2026_00077</t>
  </si>
  <si>
    <t xml:space="preserve">REFREF_00077</t>
  </si>
  <si>
    <t xml:space="preserve">REF_2026_00078</t>
  </si>
  <si>
    <t xml:space="preserve">REFREF_00078</t>
  </si>
  <si>
    <t xml:space="preserve">REF_2026_00079</t>
  </si>
  <si>
    <t xml:space="preserve">REFREF_00079</t>
  </si>
  <si>
    <t xml:space="preserve">REF_2026_00080</t>
  </si>
  <si>
    <t xml:space="preserve">REFREF_00080</t>
  </si>
  <si>
    <t xml:space="preserve">REF_2026_00081</t>
  </si>
  <si>
    <t xml:space="preserve">REFREF_00081</t>
  </si>
  <si>
    <t xml:space="preserve">REF_2026_00082</t>
  </si>
  <si>
    <t xml:space="preserve">REFREF_00082</t>
  </si>
  <si>
    <t xml:space="preserve">REF_2026_00083</t>
  </si>
  <si>
    <t xml:space="preserve">REFREF_00083</t>
  </si>
  <si>
    <t xml:space="preserve">REF_2026_00084</t>
  </si>
  <si>
    <t xml:space="preserve">REFREF_00084</t>
  </si>
  <si>
    <t xml:space="preserve">REF_2026_00085</t>
  </si>
  <si>
    <t xml:space="preserve">REFREF_00085</t>
  </si>
  <si>
    <t xml:space="preserve">REF_2026_00086</t>
  </si>
  <si>
    <t xml:space="preserve">REFREF_00086</t>
  </si>
  <si>
    <t xml:space="preserve">REF_2026_00087</t>
  </si>
  <si>
    <t xml:space="preserve">REFREF_00087</t>
  </si>
  <si>
    <t xml:space="preserve">REF_2026_00088</t>
  </si>
  <si>
    <t xml:space="preserve">REFREF_00088</t>
  </si>
  <si>
    <t xml:space="preserve">REF_2026_00089</t>
  </si>
  <si>
    <t xml:space="preserve">REFREF_00089</t>
  </si>
  <si>
    <t xml:space="preserve">REF_2026_00090</t>
  </si>
  <si>
    <t xml:space="preserve">REFREF_00090</t>
  </si>
  <si>
    <t xml:space="preserve">REF_2026_00091</t>
  </si>
  <si>
    <t xml:space="preserve">REFREF_00091</t>
  </si>
  <si>
    <t xml:space="preserve">REF_2026_00092</t>
  </si>
  <si>
    <t xml:space="preserve">REFREF_00092</t>
  </si>
  <si>
    <t xml:space="preserve">REF_2026_00093</t>
  </si>
  <si>
    <t xml:space="preserve">REFREF_00093</t>
  </si>
  <si>
    <t xml:space="preserve">REF_2026_00094</t>
  </si>
  <si>
    <t xml:space="preserve">REFREF_00094</t>
  </si>
  <si>
    <t xml:space="preserve">REF_2026_00095</t>
  </si>
  <si>
    <t xml:space="preserve">REFREF_00095</t>
  </si>
  <si>
    <t xml:space="preserve">REF_2026_00096</t>
  </si>
  <si>
    <t xml:space="preserve">REFREF_00096</t>
  </si>
  <si>
    <t xml:space="preserve">REF_2026_00097</t>
  </si>
  <si>
    <t xml:space="preserve">REFREF_00097</t>
  </si>
  <si>
    <t xml:space="preserve">REF_2026_00098</t>
  </si>
  <si>
    <t xml:space="preserve">REFREF_00098</t>
  </si>
  <si>
    <t xml:space="preserve">REF_2026_00099</t>
  </si>
  <si>
    <t xml:space="preserve">REFREF_00099</t>
  </si>
  <si>
    <t xml:space="preserve">REF_2026_00100</t>
  </si>
  <si>
    <t xml:space="preserve">REFREF_00100</t>
  </si>
  <si>
    <t xml:space="preserve">REF_2026_00101</t>
  </si>
  <si>
    <t xml:space="preserve">REFREF_00101</t>
  </si>
  <si>
    <t xml:space="preserve">REF_2026_00102</t>
  </si>
  <si>
    <t xml:space="preserve">REFREF_00102</t>
  </si>
  <si>
    <t xml:space="preserve">REF_2026_00103</t>
  </si>
  <si>
    <t xml:space="preserve">REFREF_00103</t>
  </si>
  <si>
    <t xml:space="preserve">REF_2026_00104</t>
  </si>
  <si>
    <t xml:space="preserve">REFREF_00104</t>
  </si>
  <si>
    <t xml:space="preserve">REF_2026_00105</t>
  </si>
  <si>
    <t xml:space="preserve">REFREF_00105</t>
  </si>
  <si>
    <t xml:space="preserve">REF_2026_00106</t>
  </si>
  <si>
    <t xml:space="preserve">REFREF_00106</t>
  </si>
  <si>
    <t xml:space="preserve">REF_2026_00107</t>
  </si>
  <si>
    <t xml:space="preserve">REFREF_00107</t>
  </si>
  <si>
    <t xml:space="preserve">REF_2026_00108</t>
  </si>
  <si>
    <t xml:space="preserve">REFREF_00108</t>
  </si>
  <si>
    <t xml:space="preserve">REF_2026_00109</t>
  </si>
  <si>
    <t xml:space="preserve">REFREF_00109</t>
  </si>
  <si>
    <t xml:space="preserve">REF_2026_00110</t>
  </si>
  <si>
    <t xml:space="preserve">REFREF_00110</t>
  </si>
  <si>
    <t xml:space="preserve">REF_2026_00111</t>
  </si>
  <si>
    <t xml:space="preserve">REFREF_00111</t>
  </si>
  <si>
    <t xml:space="preserve">REF_2026_00112</t>
  </si>
  <si>
    <t xml:space="preserve">REFREF_00112</t>
  </si>
  <si>
    <t xml:space="preserve">REF_2026_00113</t>
  </si>
  <si>
    <t xml:space="preserve">REFREF_00113</t>
  </si>
  <si>
    <t xml:space="preserve">REF_2026_00114</t>
  </si>
  <si>
    <t xml:space="preserve">REFREF_00114</t>
  </si>
  <si>
    <t xml:space="preserve">REF_2026_00115</t>
  </si>
  <si>
    <t xml:space="preserve">REFREF_00115</t>
  </si>
  <si>
    <t xml:space="preserve">REF_2026_00116</t>
  </si>
  <si>
    <t xml:space="preserve">REFREF_00116</t>
  </si>
  <si>
    <t xml:space="preserve">REF_2026_00117</t>
  </si>
  <si>
    <t xml:space="preserve">REFREF_00117</t>
  </si>
  <si>
    <t xml:space="preserve">REF_2026_00118</t>
  </si>
  <si>
    <t xml:space="preserve">REFREF_00118</t>
  </si>
  <si>
    <t xml:space="preserve">REF_2026_00119</t>
  </si>
  <si>
    <t xml:space="preserve">REFREF_00119</t>
  </si>
  <si>
    <t xml:space="preserve">REF_2026_00120</t>
  </si>
  <si>
    <t xml:space="preserve">REFREF_00120</t>
  </si>
  <si>
    <t xml:space="preserve">REF_2026_00121</t>
  </si>
  <si>
    <t xml:space="preserve">REFREF_00121</t>
  </si>
  <si>
    <t xml:space="preserve">REF_2026_00122</t>
  </si>
  <si>
    <t xml:space="preserve">REFREF_00122</t>
  </si>
  <si>
    <t xml:space="preserve">REF_2026_00123</t>
  </si>
  <si>
    <t xml:space="preserve">REFREF_00123</t>
  </si>
  <si>
    <t xml:space="preserve">REF_2026_00124</t>
  </si>
  <si>
    <t xml:space="preserve">REFREF_00124</t>
  </si>
  <si>
    <t xml:space="preserve">REF_2026_00125</t>
  </si>
  <si>
    <t xml:space="preserve">REFREF_00125</t>
  </si>
  <si>
    <t xml:space="preserve">REF_2026_00126</t>
  </si>
  <si>
    <t xml:space="preserve">REFREF_00126</t>
  </si>
  <si>
    <t xml:space="preserve">REF_2026_00127</t>
  </si>
  <si>
    <t xml:space="preserve">REFREF_00127</t>
  </si>
  <si>
    <t xml:space="preserve">REF_2026_00128</t>
  </si>
  <si>
    <t xml:space="preserve">REFREF_00128</t>
  </si>
  <si>
    <t xml:space="preserve">REF_2026_00129</t>
  </si>
  <si>
    <t xml:space="preserve">REFREF_00129</t>
  </si>
  <si>
    <t xml:space="preserve">REF_2026_00130</t>
  </si>
  <si>
    <t xml:space="preserve">REFREF_00130</t>
  </si>
  <si>
    <t xml:space="preserve">REF_2026_00131</t>
  </si>
  <si>
    <t xml:space="preserve">REFREF_00131</t>
  </si>
  <si>
    <t xml:space="preserve">REF_2026_00132</t>
  </si>
  <si>
    <t xml:space="preserve">REFREF_00132</t>
  </si>
  <si>
    <t xml:space="preserve">REF_2026_00133</t>
  </si>
  <si>
    <t xml:space="preserve">REFREF_00133</t>
  </si>
  <si>
    <t xml:space="preserve">REF_2026_00134</t>
  </si>
  <si>
    <t xml:space="preserve">REFREF_00134</t>
  </si>
  <si>
    <t xml:space="preserve">REF_2026_00135</t>
  </si>
  <si>
    <t xml:space="preserve">REFREF_00135</t>
  </si>
  <si>
    <t xml:space="preserve">REF_2026_00136</t>
  </si>
  <si>
    <t xml:space="preserve">REFREF_00136</t>
  </si>
  <si>
    <t xml:space="preserve">REF_2026_00137</t>
  </si>
  <si>
    <t xml:space="preserve">REFREF_00137</t>
  </si>
  <si>
    <t xml:space="preserve">REF_2026_00138</t>
  </si>
  <si>
    <t xml:space="preserve">REFREF_00138</t>
  </si>
  <si>
    <t xml:space="preserve">REF_2026_00139</t>
  </si>
  <si>
    <t xml:space="preserve">REFREF_00139</t>
  </si>
  <si>
    <t xml:space="preserve">REF_2026_00140</t>
  </si>
  <si>
    <t xml:space="preserve">REFREF_00140</t>
  </si>
  <si>
    <t xml:space="preserve">REF_2026_00141</t>
  </si>
  <si>
    <t xml:space="preserve">REFREF_00141</t>
  </si>
  <si>
    <t xml:space="preserve">REF_2026_00142</t>
  </si>
  <si>
    <t xml:space="preserve">REFREF_00142</t>
  </si>
  <si>
    <t xml:space="preserve">REF_2026_00143</t>
  </si>
  <si>
    <t xml:space="preserve">REFREF_00143</t>
  </si>
  <si>
    <t xml:space="preserve">REF_2026_00144</t>
  </si>
  <si>
    <t xml:space="preserve">REFREF_00144</t>
  </si>
  <si>
    <t xml:space="preserve">REF_2026_00145</t>
  </si>
  <si>
    <t xml:space="preserve">REFREF_00145</t>
  </si>
  <si>
    <t xml:space="preserve">REF_2026_00146</t>
  </si>
  <si>
    <t xml:space="preserve">REFREF_00146</t>
  </si>
  <si>
    <t xml:space="preserve">REF_2026_00147</t>
  </si>
  <si>
    <t xml:space="preserve">REFREF_00147</t>
  </si>
  <si>
    <t xml:space="preserve">REF_2026_00148</t>
  </si>
  <si>
    <t xml:space="preserve">REFREF_00148</t>
  </si>
  <si>
    <t xml:space="preserve">REF_2026_00149</t>
  </si>
  <si>
    <t xml:space="preserve">REFREF_00149</t>
  </si>
  <si>
    <t xml:space="preserve">REF_2026_00150</t>
  </si>
  <si>
    <t xml:space="preserve">REFREF_00150</t>
  </si>
  <si>
    <t xml:space="preserve">REF_2026_00151</t>
  </si>
  <si>
    <t xml:space="preserve">REFREF_00151</t>
  </si>
  <si>
    <t xml:space="preserve">REF_2026_00152</t>
  </si>
  <si>
    <t xml:space="preserve">REFREF_00152</t>
  </si>
  <si>
    <t xml:space="preserve">REF_2026_00153</t>
  </si>
  <si>
    <t xml:space="preserve">REFREF_00153</t>
  </si>
  <si>
    <t xml:space="preserve">REF_2026_00154</t>
  </si>
  <si>
    <t xml:space="preserve">REFREF_00154</t>
  </si>
  <si>
    <t xml:space="preserve">REF_2026_00155</t>
  </si>
  <si>
    <t xml:space="preserve">REFREF_00155</t>
  </si>
  <si>
    <t xml:space="preserve">REF_2026_00156</t>
  </si>
  <si>
    <t xml:space="preserve">REFREF_00156</t>
  </si>
  <si>
    <t xml:space="preserve">REF_2026_00157</t>
  </si>
  <si>
    <t xml:space="preserve">REFREF_00157</t>
  </si>
  <si>
    <t xml:space="preserve">REF_2026_00158</t>
  </si>
  <si>
    <t xml:space="preserve">REFREF_00158</t>
  </si>
  <si>
    <t xml:space="preserve">REF_2026_00159</t>
  </si>
  <si>
    <t xml:space="preserve">REFREF_00159</t>
  </si>
  <si>
    <t xml:space="preserve">REF_2026_00160</t>
  </si>
  <si>
    <t xml:space="preserve">REFREF_00160</t>
  </si>
  <si>
    <t xml:space="preserve">REF_2026_00161</t>
  </si>
  <si>
    <t xml:space="preserve">REFREF_00161</t>
  </si>
  <si>
    <t xml:space="preserve">REF_2026_00162</t>
  </si>
  <si>
    <t xml:space="preserve">REFREF_00162</t>
  </si>
  <si>
    <t xml:space="preserve">REF_2026_00163</t>
  </si>
  <si>
    <t xml:space="preserve">REFREF_00163</t>
  </si>
  <si>
    <t xml:space="preserve">REF_2026_00164</t>
  </si>
  <si>
    <t xml:space="preserve">REFREF_00164</t>
  </si>
  <si>
    <t xml:space="preserve">REF_2026_00165</t>
  </si>
  <si>
    <t xml:space="preserve">REFREF_00165</t>
  </si>
  <si>
    <t xml:space="preserve">REF_2026_00166</t>
  </si>
  <si>
    <t xml:space="preserve">REFREF_00166</t>
  </si>
  <si>
    <t xml:space="preserve">REF_2026_00167</t>
  </si>
  <si>
    <t xml:space="preserve">REFREF_00167</t>
  </si>
  <si>
    <t xml:space="preserve">REF_2026_00168</t>
  </si>
  <si>
    <t xml:space="preserve">REFREF_00168</t>
  </si>
  <si>
    <t xml:space="preserve">REF_2026_00169</t>
  </si>
  <si>
    <t xml:space="preserve">REFREF_00169</t>
  </si>
  <si>
    <t xml:space="preserve">REF_2026_00170</t>
  </si>
  <si>
    <t xml:space="preserve">REFREF_00170</t>
  </si>
  <si>
    <t xml:space="preserve">REF_2026_00171</t>
  </si>
  <si>
    <t xml:space="preserve">REFREF_00171</t>
  </si>
  <si>
    <t xml:space="preserve">REF_2026_00172</t>
  </si>
  <si>
    <t xml:space="preserve">REFREF_00172</t>
  </si>
  <si>
    <t xml:space="preserve">REF_2026_00173</t>
  </si>
  <si>
    <t xml:space="preserve">REFREF_00173</t>
  </si>
  <si>
    <t xml:space="preserve">REF_2026_00174</t>
  </si>
  <si>
    <t xml:space="preserve">REFREF_00174</t>
  </si>
  <si>
    <t xml:space="preserve">REF_2026_00175</t>
  </si>
  <si>
    <t xml:space="preserve">REFREF_00175</t>
  </si>
  <si>
    <t xml:space="preserve">REF_2026_00176</t>
  </si>
  <si>
    <t xml:space="preserve">REFREF_00176</t>
  </si>
  <si>
    <t xml:space="preserve">REF_2026_00177</t>
  </si>
  <si>
    <t xml:space="preserve">REFREF_00177</t>
  </si>
  <si>
    <t xml:space="preserve">REF_2026_00178</t>
  </si>
  <si>
    <t xml:space="preserve">REFREF_00178</t>
  </si>
  <si>
    <t xml:space="preserve">REF_2026_00179</t>
  </si>
  <si>
    <t xml:space="preserve">REFREF_00179</t>
  </si>
  <si>
    <t xml:space="preserve">REF_2026_00180</t>
  </si>
  <si>
    <t xml:space="preserve">REFREF_00180</t>
  </si>
  <si>
    <t xml:space="preserve">REF_2026_00181</t>
  </si>
  <si>
    <t xml:space="preserve">REFREF_00181</t>
  </si>
  <si>
    <t xml:space="preserve">REF_2026_00182</t>
  </si>
  <si>
    <t xml:space="preserve">REFREF_00182</t>
  </si>
  <si>
    <t xml:space="preserve">REF_2026_00183</t>
  </si>
  <si>
    <t xml:space="preserve">REFREF_00183</t>
  </si>
  <si>
    <t xml:space="preserve">REF_2026_00184</t>
  </si>
  <si>
    <t xml:space="preserve">REFREF_00184</t>
  </si>
  <si>
    <t xml:space="preserve">REF_2026_00185</t>
  </si>
  <si>
    <t xml:space="preserve">REFREF_00185</t>
  </si>
  <si>
    <t xml:space="preserve">REF_2026_00186</t>
  </si>
  <si>
    <t xml:space="preserve">REFREF_00186</t>
  </si>
  <si>
    <t xml:space="preserve">REF_2026_00187</t>
  </si>
  <si>
    <t xml:space="preserve">REFREF_00187</t>
  </si>
  <si>
    <t xml:space="preserve">REF_2026_00188</t>
  </si>
  <si>
    <t xml:space="preserve">REFREF_00188</t>
  </si>
  <si>
    <t xml:space="preserve">REF_2026_00189</t>
  </si>
  <si>
    <t xml:space="preserve">REFREF_00189</t>
  </si>
  <si>
    <t xml:space="preserve">REF_2026_00190</t>
  </si>
  <si>
    <t xml:space="preserve">REFREF_00190</t>
  </si>
  <si>
    <t xml:space="preserve">REF_2026_00191</t>
  </si>
  <si>
    <t xml:space="preserve">REFREF_00191</t>
  </si>
  <si>
    <t xml:space="preserve">REF_2026_00192</t>
  </si>
  <si>
    <t xml:space="preserve">REFREF_00192</t>
  </si>
  <si>
    <t xml:space="preserve">REF_2026_00193</t>
  </si>
  <si>
    <t xml:space="preserve">REFREF_00193</t>
  </si>
  <si>
    <t xml:space="preserve">REF_2026_00194</t>
  </si>
  <si>
    <t xml:space="preserve">REFREF_00194</t>
  </si>
  <si>
    <t xml:space="preserve">REF_2026_00195</t>
  </si>
  <si>
    <t xml:space="preserve">REFREF_00195</t>
  </si>
  <si>
    <t xml:space="preserve">REF_2026_00196</t>
  </si>
  <si>
    <t xml:space="preserve">TXN_2026_000201</t>
  </si>
  <si>
    <t xml:space="preserve">REFREF_00196</t>
  </si>
  <si>
    <t xml:space="preserve">REF_2026_00197</t>
  </si>
  <si>
    <t xml:space="preserve">TXN_2026_000202</t>
  </si>
  <si>
    <t xml:space="preserve">REFREF_00197</t>
  </si>
  <si>
    <t xml:space="preserve">REF_2026_00198</t>
  </si>
  <si>
    <t xml:space="preserve">TXN_2026_000203</t>
  </si>
  <si>
    <t xml:space="preserve">REFREF_00198</t>
  </si>
  <si>
    <t xml:space="preserve">REF_2026_00199</t>
  </si>
  <si>
    <t xml:space="preserve">TXN_2026_000204</t>
  </si>
  <si>
    <t xml:space="preserve">REFREF_00199</t>
  </si>
  <si>
    <t xml:space="preserve">REF_2026_00200</t>
  </si>
  <si>
    <t xml:space="preserve">TXN_2026_000205</t>
  </si>
  <si>
    <t xml:space="preserve">REFREF_00200</t>
  </si>
  <si>
    <t xml:space="preserve">Merchant Name</t>
  </si>
  <si>
    <t xml:space="preserve">Category</t>
  </si>
  <si>
    <t xml:space="preserve">Region</t>
  </si>
  <si>
    <t xml:space="preserve">Gateway</t>
  </si>
  <si>
    <t xml:space="preserve">MDR Rate</t>
  </si>
  <si>
    <t xml:space="preserve">Fixed Fee (INR)</t>
  </si>
  <si>
    <t xml:space="preserve">Total Cases</t>
  </si>
  <si>
    <t xml:space="preserve">Exception Count</t>
  </si>
  <si>
    <t xml:space="preserve">Aarav Digital Retail Pvt Ltd</t>
  </si>
  <si>
    <t xml:space="preserve">E-Commerce &amp; Retail</t>
  </si>
  <si>
    <t xml:space="preserve">West</t>
  </si>
  <si>
    <t xml:space="preserve">AxisPay_Gateway</t>
  </si>
  <si>
    <t xml:space="preserve">BharatMart Hypermarkets</t>
  </si>
  <si>
    <t xml:space="preserve">Grocery &amp; Essentials</t>
  </si>
  <si>
    <t xml:space="preserve">North</t>
  </si>
  <si>
    <t xml:space="preserve">HDFC_SmartHub</t>
  </si>
  <si>
    <t xml:space="preserve">CloudPulse SaaS India</t>
  </si>
  <si>
    <t xml:space="preserve">Software &amp; B2B SaaS</t>
  </si>
  <si>
    <t xml:space="preserve">South</t>
  </si>
  <si>
    <t xml:space="preserve">ICICI_PaySeal</t>
  </si>
  <si>
    <t xml:space="preserve">Deccan Express Logistics</t>
  </si>
  <si>
    <t xml:space="preserve">Logistics &amp; Supply Chain</t>
  </si>
  <si>
    <t xml:space="preserve">RazorFlow_India</t>
  </si>
  <si>
    <t xml:space="preserve">ElectroPrime Appliances</t>
  </si>
  <si>
    <t xml:space="preserve">Consumer Electronics</t>
  </si>
  <si>
    <t xml:space="preserve">FabVogue Fashion Co</t>
  </si>
  <si>
    <t xml:space="preserve">Apparel &amp; Lifestyle</t>
  </si>
  <si>
    <t xml:space="preserve">GreenVeda Wellness Ltd</t>
  </si>
  <si>
    <t xml:space="preserve">Healthcare &amp; Pharmacy</t>
  </si>
  <si>
    <t xml:space="preserve">East</t>
  </si>
  <si>
    <t xml:space="preserve">Horizon Sky Travel &amp; Stays</t>
  </si>
  <si>
    <t xml:space="preserve">Travel &amp; Hospitality</t>
  </si>
  <si>
    <t xml:space="preserve">Indus MedCare Diagnostics</t>
  </si>
  <si>
    <t xml:space="preserve">Jaipur Heritage Artisans</t>
  </si>
  <si>
    <t xml:space="preserve">Home &amp; Specialty Retail</t>
  </si>
  <si>
    <t xml:space="preserve">Kaveri EdTech Academy</t>
  </si>
  <si>
    <t xml:space="preserve">Education &amp; Upskilling</t>
  </si>
  <si>
    <t xml:space="preserve">Lotus Gourmet Hospitality</t>
  </si>
  <si>
    <t xml:space="preserve">Food &amp; Dining</t>
  </si>
  <si>
    <t xml:space="preserve">MetroAuto Spares &amp; Service</t>
  </si>
  <si>
    <t xml:space="preserve">Automotive &amp; Parts</t>
  </si>
  <si>
    <t xml:space="preserve">Central</t>
  </si>
  <si>
    <t xml:space="preserve">Namma QuickBasket Delivery</t>
  </si>
  <si>
    <t xml:space="preserve">Hyperlocal Quick-Commerce</t>
  </si>
  <si>
    <t xml:space="preserve">Orbit Interactive Gaming</t>
  </si>
  <si>
    <t xml:space="preserve">Digital Goods &amp; Gaming</t>
  </si>
  <si>
    <t xml:space="preserve">Pragati AgriTech Inputs</t>
  </si>
  <si>
    <t xml:space="preserve">Agriculture &amp; B2B</t>
  </si>
  <si>
    <t xml:space="preserve">Quantum FinServ Advisory</t>
  </si>
  <si>
    <t xml:space="preserve">Financial Services</t>
  </si>
  <si>
    <t xml:space="preserve">Raga Music &amp; Ticketing</t>
  </si>
  <si>
    <t xml:space="preserve">Events &amp; Entertainment</t>
  </si>
  <si>
    <t xml:space="preserve">Surya Solar Home Systems</t>
  </si>
  <si>
    <t xml:space="preserve">Utilities &amp; Clean Energy</t>
  </si>
  <si>
    <t xml:space="preserve">Triveni Book &amp; Media House</t>
  </si>
  <si>
    <t xml:space="preserve">Publishing &amp; Books</t>
  </si>
  <si>
    <t xml:space="preserve">Udaan Fitness &amp; Sports</t>
  </si>
  <si>
    <t xml:space="preserve">Sports &amp; Fitness</t>
  </si>
  <si>
    <t xml:space="preserve">Vanguard Cloud Hosting</t>
  </si>
  <si>
    <t xml:space="preserve">IT Infrastructure</t>
  </si>
  <si>
    <t xml:space="preserve">Western Ghats Specialty Coffee</t>
  </si>
  <si>
    <t xml:space="preserve">Food &amp; Beverage</t>
  </si>
  <si>
    <t xml:space="preserve">Zenith Home Furnishings</t>
  </si>
  <si>
    <t xml:space="preserve">Home &amp; Furniture</t>
  </si>
  <si>
    <t xml:space="preserve">Apex OmniChannel Retail</t>
  </si>
  <si>
    <t xml:space="preserve">Department Stores</t>
  </si>
  <si>
    <t xml:space="preserve">Dataset Name</t>
  </si>
  <si>
    <t xml:space="preserve">Raw Ingested Rows</t>
  </si>
  <si>
    <t xml:space="preserve">Validated Rows</t>
  </si>
  <si>
    <t xml:space="preserve">Quarantined Rows</t>
  </si>
  <si>
    <t xml:space="preserve">Suppressed Dups</t>
  </si>
  <si>
    <t xml:space="preserve">Row Check [Auto]</t>
  </si>
  <si>
    <t xml:space="preserve">Raw INR Value</t>
  </si>
  <si>
    <t xml:space="preserve">Validated INR Value</t>
  </si>
  <si>
    <t xml:space="preserve">Quarantined INR</t>
  </si>
  <si>
    <t xml:space="preserve">Suppressed Dup INR</t>
  </si>
  <si>
    <t xml:space="preserve">Unexplained Diff [Auto]</t>
  </si>
  <si>
    <t xml:space="preserve">TRANSACTIONS</t>
  </si>
  <si>
    <t xml:space="preserve">SETTLEMENTS</t>
  </si>
  <si>
    <t xml:space="preserve">BANK_ENTRIES</t>
  </si>
  <si>
    <t xml:space="preserve">REFUNDS</t>
  </si>
  <si>
    <t xml:space="preserve">MERCHANTS</t>
  </si>
  <si>
    <t xml:space="preserve">Case / Source ID</t>
  </si>
  <si>
    <t xml:space="preserve">Rule ID</t>
  </si>
  <si>
    <t xml:space="preserve">Classification</t>
  </si>
  <si>
    <t xml:space="preserve">Outcome Group</t>
  </si>
  <si>
    <t xml:space="preserve">Signed Variance [Auto]</t>
  </si>
  <si>
    <t xml:space="preserve">Abs Variance [Auto]</t>
  </si>
  <si>
    <t xml:space="preserve">Tolerance Check [Auto]</t>
  </si>
  <si>
    <t xml:space="preserve">TXN_2026_009201</t>
  </si>
  <si>
    <t xml:space="preserve">EXCEPTION</t>
  </si>
  <si>
    <t xml:space="preserve">TXN_2026_009202</t>
  </si>
  <si>
    <t xml:space="preserve">TXN_2026_009203</t>
  </si>
  <si>
    <t xml:space="preserve">TXN_2026_009204</t>
  </si>
  <si>
    <t xml:space="preserve">TXN_2026_009205</t>
  </si>
  <si>
    <t xml:space="preserve">TXN_2026_009206</t>
  </si>
  <si>
    <t xml:space="preserve">TXN_2026_009207</t>
  </si>
  <si>
    <t xml:space="preserve">TXN_2026_009208</t>
  </si>
  <si>
    <t xml:space="preserve">TXN_2026_009209</t>
  </si>
  <si>
    <t xml:space="preserve">TXN_2026_009210</t>
  </si>
  <si>
    <t xml:space="preserve">TXN_2026_009211</t>
  </si>
  <si>
    <t xml:space="preserve">TXN_2026_009212</t>
  </si>
  <si>
    <t xml:space="preserve">TXN_2026_009213</t>
  </si>
  <si>
    <t xml:space="preserve">TXN_2026_009214</t>
  </si>
  <si>
    <t xml:space="preserve">TXN_2026_009215</t>
  </si>
  <si>
    <t xml:space="preserve">TXN_2026_009216</t>
  </si>
  <si>
    <t xml:space="preserve">TXN_2026_009217</t>
  </si>
  <si>
    <t xml:space="preserve">TXN_2026_009218</t>
  </si>
  <si>
    <t xml:space="preserve">TXN_2026_009219</t>
  </si>
  <si>
    <t xml:space="preserve">TXN_2026_009220</t>
  </si>
  <si>
    <t xml:space="preserve">TXN_2026_009221</t>
  </si>
  <si>
    <t xml:space="preserve">TXN_2026_009222</t>
  </si>
  <si>
    <t xml:space="preserve">TXN_2026_009223</t>
  </si>
  <si>
    <t xml:space="preserve">TXN_2026_009224</t>
  </si>
  <si>
    <t xml:space="preserve">TXN_2026_009225</t>
  </si>
  <si>
    <t xml:space="preserve">TXN_2026_009226</t>
  </si>
  <si>
    <t xml:space="preserve">TXN_2026_009227</t>
  </si>
  <si>
    <t xml:space="preserve">TXN_2026_009228</t>
  </si>
  <si>
    <t xml:space="preserve">TXN_2026_009229</t>
  </si>
  <si>
    <t xml:space="preserve">TXN_2026_009230</t>
  </si>
  <si>
    <t xml:space="preserve">TXN_2026_009231</t>
  </si>
  <si>
    <t xml:space="preserve">TXN_2026_009232</t>
  </si>
  <si>
    <t xml:space="preserve">TXN_2026_009233</t>
  </si>
  <si>
    <t xml:space="preserve">TXN_2026_009234</t>
  </si>
  <si>
    <t xml:space="preserve">TXN_2026_009235</t>
  </si>
  <si>
    <t xml:space="preserve">TXN_2026_009236</t>
  </si>
  <si>
    <t xml:space="preserve">TXN_2026_009237</t>
  </si>
  <si>
    <t xml:space="preserve">TXN_2026_009238</t>
  </si>
  <si>
    <t xml:space="preserve">TXN_2026_009239</t>
  </si>
  <si>
    <t xml:space="preserve">TXN_2026_009240</t>
  </si>
  <si>
    <t xml:space="preserve">TXN_2026_009241</t>
  </si>
  <si>
    <t xml:space="preserve">TXN_2026_009242</t>
  </si>
  <si>
    <t xml:space="preserve">TXN_2026_009243</t>
  </si>
  <si>
    <t xml:space="preserve">TXN_2026_009244</t>
  </si>
  <si>
    <t xml:space="preserve">TXN_2026_009245</t>
  </si>
  <si>
    <t xml:space="preserve">TXN_2026_009246</t>
  </si>
  <si>
    <t xml:space="preserve">TXN_2026_009247</t>
  </si>
  <si>
    <t xml:space="preserve">TXN_2026_009248</t>
  </si>
  <si>
    <t xml:space="preserve">TXN_2026_009249</t>
  </si>
  <si>
    <t xml:space="preserve">TXN_2026_009250</t>
  </si>
  <si>
    <t xml:space="preserve">TXN_2026_009251</t>
  </si>
  <si>
    <t xml:space="preserve">TXN_2026_009252</t>
  </si>
  <si>
    <t xml:space="preserve">TXN_2026_009253</t>
  </si>
  <si>
    <t xml:space="preserve">TXN_2026_009254</t>
  </si>
  <si>
    <t xml:space="preserve">TXN_2026_009255</t>
  </si>
  <si>
    <t xml:space="preserve">TXN_2026_009256</t>
  </si>
  <si>
    <t xml:space="preserve">TXN_2026_009257</t>
  </si>
  <si>
    <t xml:space="preserve">TXN_2026_009258</t>
  </si>
  <si>
    <t xml:space="preserve">TXN_2026_009259</t>
  </si>
  <si>
    <t xml:space="preserve">TXN_2026_009260</t>
  </si>
  <si>
    <t xml:space="preserve">TXN_2026_009261</t>
  </si>
  <si>
    <t xml:space="preserve">TXN_2026_009262</t>
  </si>
  <si>
    <t xml:space="preserve">TXN_2026_009263</t>
  </si>
  <si>
    <t xml:space="preserve">TXN_2026_009264</t>
  </si>
  <si>
    <t xml:space="preserve">TXN_2026_009265</t>
  </si>
  <si>
    <t xml:space="preserve">TXN_2026_009266</t>
  </si>
  <si>
    <t xml:space="preserve">TXN_2026_009267</t>
  </si>
  <si>
    <t xml:space="preserve">TXN_2026_009268</t>
  </si>
  <si>
    <t xml:space="preserve">TXN_2026_009269</t>
  </si>
  <si>
    <t xml:space="preserve">TXN_2026_009270</t>
  </si>
  <si>
    <t xml:space="preserve">TXN_2026_009271</t>
  </si>
  <si>
    <t xml:space="preserve">TXN_2026_009272</t>
  </si>
  <si>
    <t xml:space="preserve">TXN_2026_009273</t>
  </si>
  <si>
    <t xml:space="preserve">TXN_2026_009274</t>
  </si>
  <si>
    <t xml:space="preserve">TXN_2026_009275</t>
  </si>
  <si>
    <t xml:space="preserve">TXN_2026_009276</t>
  </si>
  <si>
    <t xml:space="preserve">TXN_2026_009277</t>
  </si>
  <si>
    <t xml:space="preserve">TXN_2026_009278</t>
  </si>
  <si>
    <t xml:space="preserve">TXN_2026_009279</t>
  </si>
  <si>
    <t xml:space="preserve">TXN_2026_009280</t>
  </si>
  <si>
    <t xml:space="preserve">TXN_2026_009281</t>
  </si>
  <si>
    <t xml:space="preserve">TXN_2026_009282</t>
  </si>
  <si>
    <t xml:space="preserve">TXN_2026_009283</t>
  </si>
  <si>
    <t xml:space="preserve">TXN_2026_009284</t>
  </si>
  <si>
    <t xml:space="preserve">TXN_2026_009285</t>
  </si>
  <si>
    <t xml:space="preserve">TXN_2026_009286</t>
  </si>
  <si>
    <t xml:space="preserve">TXN_2026_009287</t>
  </si>
  <si>
    <t xml:space="preserve">TXN_2026_009288</t>
  </si>
  <si>
    <t xml:space="preserve">TXN_2026_009289</t>
  </si>
  <si>
    <t xml:space="preserve">TXN_2026_009290</t>
  </si>
  <si>
    <t xml:space="preserve">TXN_2026_009291</t>
  </si>
  <si>
    <t xml:space="preserve">TXN_2026_009292</t>
  </si>
  <si>
    <t xml:space="preserve">TXN_2026_009293</t>
  </si>
  <si>
    <t xml:space="preserve">TXN_2026_009294</t>
  </si>
  <si>
    <t xml:space="preserve">TXN_2026_009295</t>
  </si>
  <si>
    <t xml:space="preserve">TXN_2026_009296</t>
  </si>
  <si>
    <t xml:space="preserve">TXN_2026_009297</t>
  </si>
  <si>
    <t xml:space="preserve">TXN_2026_009298</t>
  </si>
  <si>
    <t xml:space="preserve">TXN_2026_009299</t>
  </si>
  <si>
    <t xml:space="preserve">TXN_2026_009300</t>
  </si>
  <si>
    <t xml:space="preserve">TXN_2026_009301</t>
  </si>
  <si>
    <t xml:space="preserve">TXN_2026_009302</t>
  </si>
  <si>
    <t xml:space="preserve">TXN_2026_009303</t>
  </si>
  <si>
    <t xml:space="preserve">TXN_2026_009304</t>
  </si>
  <si>
    <t xml:space="preserve">TXN_2026_009305</t>
  </si>
  <si>
    <t xml:space="preserve">TXN_2026_009306</t>
  </si>
  <si>
    <t xml:space="preserve">TXN_2026_009307</t>
  </si>
  <si>
    <t xml:space="preserve">TXN_2026_009308</t>
  </si>
  <si>
    <t xml:space="preserve">TXN_2026_009309</t>
  </si>
  <si>
    <t xml:space="preserve">TXN_2026_009310</t>
  </si>
  <si>
    <t xml:space="preserve">TXN_2026_009311</t>
  </si>
  <si>
    <t xml:space="preserve">TXN_2026_009312</t>
  </si>
  <si>
    <t xml:space="preserve">TXN_2026_009313</t>
  </si>
  <si>
    <t xml:space="preserve">TXN_2026_009314</t>
  </si>
  <si>
    <t xml:space="preserve">TXN_2026_009315</t>
  </si>
  <si>
    <t xml:space="preserve">TXN_2026_009316</t>
  </si>
  <si>
    <t xml:space="preserve">TXN_2026_009317</t>
  </si>
  <si>
    <t xml:space="preserve">TXN_2026_009318</t>
  </si>
  <si>
    <t xml:space="preserve">TXN_2026_009319</t>
  </si>
  <si>
    <t xml:space="preserve">TXN_2026_009320</t>
  </si>
  <si>
    <t xml:space="preserve">TXN_2026_009321</t>
  </si>
  <si>
    <t xml:space="preserve">TXN_2026_009322</t>
  </si>
  <si>
    <t xml:space="preserve">TXN_2026_009323</t>
  </si>
  <si>
    <t xml:space="preserve">TXN_2026_009324</t>
  </si>
  <si>
    <t xml:space="preserve">TXN_2026_009325</t>
  </si>
  <si>
    <t xml:space="preserve">TXN_2026_009326</t>
  </si>
  <si>
    <t xml:space="preserve">TXN_2026_009327</t>
  </si>
  <si>
    <t xml:space="preserve">TXN_2026_009328</t>
  </si>
  <si>
    <t xml:space="preserve">TXN_2026_009329</t>
  </si>
  <si>
    <t xml:space="preserve">TXN_2026_009330</t>
  </si>
  <si>
    <t xml:space="preserve">TXN_2026_009331</t>
  </si>
  <si>
    <t xml:space="preserve">TXN_2026_009332</t>
  </si>
  <si>
    <t xml:space="preserve">TXN_2026_009333</t>
  </si>
  <si>
    <t xml:space="preserve">TXN_2026_009334</t>
  </si>
  <si>
    <t xml:space="preserve">TXN_2026_009335</t>
  </si>
  <si>
    <t xml:space="preserve">TXN_2026_009336</t>
  </si>
  <si>
    <t xml:space="preserve">TXN_2026_009337</t>
  </si>
  <si>
    <t xml:space="preserve">TXN_2026_009338</t>
  </si>
  <si>
    <t xml:space="preserve">TXN_2026_009339</t>
  </si>
  <si>
    <t xml:space="preserve">TXN_2026_009340</t>
  </si>
  <si>
    <t xml:space="preserve">TXN_2026_009341</t>
  </si>
  <si>
    <t xml:space="preserve">TXN_2026_009342</t>
  </si>
  <si>
    <t xml:space="preserve">TXN_2026_009343</t>
  </si>
  <si>
    <t xml:space="preserve">TXN_2026_009344</t>
  </si>
  <si>
    <t xml:space="preserve">TXN_2026_009345</t>
  </si>
  <si>
    <t xml:space="preserve">TXN_2026_009346</t>
  </si>
  <si>
    <t xml:space="preserve">TXN_2026_009347</t>
  </si>
  <si>
    <t xml:space="preserve">TXN_2026_009348</t>
  </si>
  <si>
    <t xml:space="preserve">TXN_2026_009349</t>
  </si>
  <si>
    <t xml:space="preserve">TXN_2026_009350</t>
  </si>
  <si>
    <t xml:space="preserve">Exception ID</t>
  </si>
  <si>
    <t xml:space="preserve">Source Record ID</t>
  </si>
  <si>
    <t xml:space="preserve">Expected (INR)</t>
  </si>
  <si>
    <t xml:space="preserve">Observed (INR)</t>
  </si>
  <si>
    <t xml:space="preserve">Signed Var [Auto]</t>
  </si>
  <si>
    <t xml:space="preserve">Unresolved Exposure [Auto]</t>
  </si>
  <si>
    <t xml:space="preserve">Age (Days)</t>
  </si>
  <si>
    <t xml:space="preserve">EXC_00001</t>
  </si>
  <si>
    <t xml:space="preserve">RESOLVED</t>
  </si>
  <si>
    <t xml:space="preserve">EXC_00002</t>
  </si>
  <si>
    <t xml:space="preserve">EXC_00003</t>
  </si>
  <si>
    <t xml:space="preserve">EXC_00004</t>
  </si>
  <si>
    <t xml:space="preserve">EXC_00005</t>
  </si>
  <si>
    <t xml:space="preserve">EXC_00006</t>
  </si>
  <si>
    <t xml:space="preserve">EXC_00007</t>
  </si>
  <si>
    <t xml:space="preserve">EXC_00008</t>
  </si>
  <si>
    <t xml:space="preserve">EXC_00009</t>
  </si>
  <si>
    <t xml:space="preserve">EXC_00010</t>
  </si>
  <si>
    <t xml:space="preserve">EXC_00011</t>
  </si>
  <si>
    <t xml:space="preserve">EXC_00012</t>
  </si>
  <si>
    <t xml:space="preserve">EXC_00013</t>
  </si>
  <si>
    <t xml:space="preserve">EXC_00014</t>
  </si>
  <si>
    <t xml:space="preserve">EXC_00015</t>
  </si>
  <si>
    <t xml:space="preserve">EXC_00016</t>
  </si>
  <si>
    <t xml:space="preserve">EXC_00017</t>
  </si>
  <si>
    <t xml:space="preserve">EXC_00018</t>
  </si>
  <si>
    <t xml:space="preserve">EXC_00019</t>
  </si>
  <si>
    <t xml:space="preserve">EXC_00020</t>
  </si>
  <si>
    <t xml:space="preserve">EXC_00021</t>
  </si>
  <si>
    <t xml:space="preserve">EXC_00022</t>
  </si>
  <si>
    <t xml:space="preserve">EXC_00023</t>
  </si>
  <si>
    <t xml:space="preserve">EXC_00024</t>
  </si>
  <si>
    <t xml:space="preserve">EXC_00025</t>
  </si>
  <si>
    <t xml:space="preserve">EXC_00026</t>
  </si>
  <si>
    <t xml:space="preserve">EXC_00027</t>
  </si>
  <si>
    <t xml:space="preserve">EXC_00028</t>
  </si>
  <si>
    <t xml:space="preserve">EXC_00029</t>
  </si>
  <si>
    <t xml:space="preserve">EXC_00030</t>
  </si>
  <si>
    <t xml:space="preserve">EXC_00031</t>
  </si>
  <si>
    <t xml:space="preserve">EXC_00032</t>
  </si>
  <si>
    <t xml:space="preserve">EXC_00033</t>
  </si>
  <si>
    <t xml:space="preserve">EXC_00034</t>
  </si>
  <si>
    <t xml:space="preserve">EXC_00035</t>
  </si>
  <si>
    <t xml:space="preserve">EXC_00036</t>
  </si>
  <si>
    <t xml:space="preserve">EXC_00037</t>
  </si>
  <si>
    <t xml:space="preserve">EXC_00038</t>
  </si>
  <si>
    <t xml:space="preserve">EXC_00039</t>
  </si>
  <si>
    <t xml:space="preserve">EXC_00040</t>
  </si>
  <si>
    <t xml:space="preserve">EXC_00041</t>
  </si>
  <si>
    <t xml:space="preserve">REOPENED</t>
  </si>
  <si>
    <t xml:space="preserve">EXC_00042</t>
  </si>
  <si>
    <t xml:space="preserve">EXC_00043</t>
  </si>
  <si>
    <t xml:space="preserve">EXC_00044</t>
  </si>
  <si>
    <t xml:space="preserve">EXC_00045</t>
  </si>
  <si>
    <t xml:space="preserve">EXC_00046</t>
  </si>
  <si>
    <t xml:space="preserve">EXC_00047</t>
  </si>
  <si>
    <t xml:space="preserve">EXC_00048</t>
  </si>
  <si>
    <t xml:space="preserve">EXC_00049</t>
  </si>
  <si>
    <t xml:space="preserve">EXC_00050</t>
  </si>
  <si>
    <t xml:space="preserve">EXC_00051</t>
  </si>
  <si>
    <t xml:space="preserve">OPEN</t>
  </si>
  <si>
    <t xml:space="preserve">EXC_00052</t>
  </si>
  <si>
    <t xml:space="preserve">EXC_00053</t>
  </si>
  <si>
    <t xml:space="preserve">EXC_00054</t>
  </si>
  <si>
    <t xml:space="preserve">EXC_00055</t>
  </si>
  <si>
    <t xml:space="preserve">EXC_00056</t>
  </si>
  <si>
    <t xml:space="preserve">EXC_00057</t>
  </si>
  <si>
    <t xml:space="preserve">EXC_00058</t>
  </si>
  <si>
    <t xml:space="preserve">EXC_00059</t>
  </si>
  <si>
    <t xml:space="preserve">EXC_00060</t>
  </si>
  <si>
    <t xml:space="preserve">EXC_00061</t>
  </si>
  <si>
    <t xml:space="preserve">EXC_00062</t>
  </si>
  <si>
    <t xml:space="preserve">EXC_00063</t>
  </si>
  <si>
    <t xml:space="preserve">EXC_00064</t>
  </si>
  <si>
    <t xml:space="preserve">EXC_00065</t>
  </si>
  <si>
    <t xml:space="preserve">EXC_00066</t>
  </si>
  <si>
    <t xml:space="preserve">EXC_00067</t>
  </si>
  <si>
    <t xml:space="preserve">EXC_00068</t>
  </si>
  <si>
    <t xml:space="preserve">EXC_00069</t>
  </si>
  <si>
    <t xml:space="preserve">EXC_00070</t>
  </si>
  <si>
    <t xml:space="preserve">EXC_00071</t>
  </si>
  <si>
    <t xml:space="preserve">EXC_00072</t>
  </si>
  <si>
    <t xml:space="preserve">EXC_00073</t>
  </si>
  <si>
    <t xml:space="preserve">EXC_00074</t>
  </si>
  <si>
    <t xml:space="preserve">EXC_00075</t>
  </si>
  <si>
    <t xml:space="preserve">EXC_00076</t>
  </si>
  <si>
    <t xml:space="preserve">EXC_00077</t>
  </si>
  <si>
    <t xml:space="preserve">EXC_00078</t>
  </si>
  <si>
    <t xml:space="preserve">EXC_00079</t>
  </si>
  <si>
    <t xml:space="preserve">EXC_00080</t>
  </si>
  <si>
    <t xml:space="preserve">EXC_00081</t>
  </si>
  <si>
    <t xml:space="preserve">EXC_00082</t>
  </si>
  <si>
    <t xml:space="preserve">EXC_00083</t>
  </si>
  <si>
    <t xml:space="preserve">EXC_00084</t>
  </si>
  <si>
    <t xml:space="preserve">EXC_00085</t>
  </si>
  <si>
    <t xml:space="preserve">EXC_00086</t>
  </si>
  <si>
    <t xml:space="preserve">EXC_00087</t>
  </si>
  <si>
    <t xml:space="preserve">EXC_00088</t>
  </si>
  <si>
    <t xml:space="preserve">EXC_00089</t>
  </si>
  <si>
    <t xml:space="preserve">EXC_00090</t>
  </si>
  <si>
    <t xml:space="preserve">EXC_00091</t>
  </si>
  <si>
    <t xml:space="preserve">EXC_00092</t>
  </si>
  <si>
    <t xml:space="preserve">EXC_00093</t>
  </si>
  <si>
    <t xml:space="preserve">EXC_00094</t>
  </si>
  <si>
    <t xml:space="preserve">EXC_00095</t>
  </si>
  <si>
    <t xml:space="preserve">EXC_00096</t>
  </si>
  <si>
    <t xml:space="preserve">EXC_00097</t>
  </si>
  <si>
    <t xml:space="preserve">EXC_00098</t>
  </si>
  <si>
    <t xml:space="preserve">EXC_00099</t>
  </si>
  <si>
    <t xml:space="preserve">EXC_00100</t>
  </si>
  <si>
    <t xml:space="preserve">EXC_00101</t>
  </si>
  <si>
    <t xml:space="preserve">EXC_00102</t>
  </si>
  <si>
    <t xml:space="preserve">EXC_00103</t>
  </si>
  <si>
    <t xml:space="preserve">EXC_00104</t>
  </si>
  <si>
    <t xml:space="preserve">EXC_00105</t>
  </si>
  <si>
    <t xml:space="preserve">EXC_00106</t>
  </si>
  <si>
    <t xml:space="preserve">EXC_00107</t>
  </si>
  <si>
    <t xml:space="preserve">EXC_00108</t>
  </si>
  <si>
    <t xml:space="preserve">EXC_00109</t>
  </si>
  <si>
    <t xml:space="preserve">EXC_00110</t>
  </si>
  <si>
    <t xml:space="preserve">EXC_00111</t>
  </si>
  <si>
    <t xml:space="preserve">EXC_00112</t>
  </si>
  <si>
    <t xml:space="preserve">EXC_00113</t>
  </si>
  <si>
    <t xml:space="preserve">EXC_00114</t>
  </si>
  <si>
    <t xml:space="preserve">EXC_00115</t>
  </si>
  <si>
    <t xml:space="preserve">EXC_00116</t>
  </si>
  <si>
    <t xml:space="preserve">EXC_00117</t>
  </si>
  <si>
    <t xml:space="preserve">EXC_00118</t>
  </si>
  <si>
    <t xml:space="preserve">EXC_00119</t>
  </si>
  <si>
    <t xml:space="preserve">EXC_00120</t>
  </si>
  <si>
    <t xml:space="preserve">EXC_00121</t>
  </si>
  <si>
    <t xml:space="preserve">EXC_00122</t>
  </si>
  <si>
    <t xml:space="preserve">EXC_00123</t>
  </si>
  <si>
    <t xml:space="preserve">EXC_00124</t>
  </si>
  <si>
    <t xml:space="preserve">EXC_00125</t>
  </si>
  <si>
    <t xml:space="preserve">EXC_00126</t>
  </si>
  <si>
    <t xml:space="preserve">EXC_00127</t>
  </si>
  <si>
    <t xml:space="preserve">EXC_00128</t>
  </si>
  <si>
    <t xml:space="preserve">EXC_00129</t>
  </si>
  <si>
    <t xml:space="preserve">EXC_00130</t>
  </si>
  <si>
    <t xml:space="preserve">EXC_00131</t>
  </si>
  <si>
    <t xml:space="preserve">EXC_00132</t>
  </si>
  <si>
    <t xml:space="preserve">EXC_00133</t>
  </si>
  <si>
    <t xml:space="preserve">EXC_00134</t>
  </si>
  <si>
    <t xml:space="preserve">EXC_00135</t>
  </si>
  <si>
    <t xml:space="preserve">EXC_00136</t>
  </si>
  <si>
    <t xml:space="preserve">EXC_00137</t>
  </si>
  <si>
    <t xml:space="preserve">EXC_00138</t>
  </si>
  <si>
    <t xml:space="preserve">EXC_00139</t>
  </si>
  <si>
    <t xml:space="preserve">EXC_00140</t>
  </si>
  <si>
    <t xml:space="preserve">EXC_00141</t>
  </si>
  <si>
    <t xml:space="preserve">EXC_00142</t>
  </si>
  <si>
    <t xml:space="preserve">EXC_00143</t>
  </si>
  <si>
    <t xml:space="preserve">EXC_00144</t>
  </si>
  <si>
    <t xml:space="preserve">EXC_00145</t>
  </si>
  <si>
    <t xml:space="preserve">EXC_00146</t>
  </si>
  <si>
    <t xml:space="preserve">EXC_00147</t>
  </si>
  <si>
    <t xml:space="preserve">EXC_00148</t>
  </si>
  <si>
    <t xml:space="preserve">EXC_00149</t>
  </si>
  <si>
    <t xml:space="preserve">EXC_00150</t>
  </si>
  <si>
    <t xml:space="preserve">EXC_00151</t>
  </si>
  <si>
    <t xml:space="preserve">TXN_2026_009351</t>
  </si>
  <si>
    <t xml:space="preserve">EXC_00152</t>
  </si>
  <si>
    <t xml:space="preserve">TXN_2026_009352</t>
  </si>
  <si>
    <t xml:space="preserve">EXC_00153</t>
  </si>
  <si>
    <t xml:space="preserve">TXN_2026_009353</t>
  </si>
  <si>
    <t xml:space="preserve">EXC_00154</t>
  </si>
  <si>
    <t xml:space="preserve">TXN_2026_009354</t>
  </si>
  <si>
    <t xml:space="preserve">EXC_00155</t>
  </si>
  <si>
    <t xml:space="preserve">TXN_2026_009355</t>
  </si>
  <si>
    <t xml:space="preserve">EXC_00156</t>
  </si>
  <si>
    <t xml:space="preserve">TXN_2026_009356</t>
  </si>
  <si>
    <t xml:space="preserve">EXC_00157</t>
  </si>
  <si>
    <t xml:space="preserve">TXN_2026_009357</t>
  </si>
  <si>
    <t xml:space="preserve">EXC_00158</t>
  </si>
  <si>
    <t xml:space="preserve">TXN_2026_009358</t>
  </si>
  <si>
    <t xml:space="preserve">EXC_00159</t>
  </si>
  <si>
    <t xml:space="preserve">TXN_2026_009359</t>
  </si>
  <si>
    <t xml:space="preserve">EXC_00160</t>
  </si>
  <si>
    <t xml:space="preserve">TXN_2026_009360</t>
  </si>
  <si>
    <t xml:space="preserve">EXC_00161</t>
  </si>
  <si>
    <t xml:space="preserve">TXN_2026_009361</t>
  </si>
  <si>
    <t xml:space="preserve">EXC_00162</t>
  </si>
  <si>
    <t xml:space="preserve">TXN_2026_009362</t>
  </si>
  <si>
    <t xml:space="preserve">EXC_00163</t>
  </si>
  <si>
    <t xml:space="preserve">TXN_2026_009363</t>
  </si>
  <si>
    <t xml:space="preserve">EXC_00164</t>
  </si>
  <si>
    <t xml:space="preserve">TXN_2026_009364</t>
  </si>
  <si>
    <t xml:space="preserve">EXC_00165</t>
  </si>
  <si>
    <t xml:space="preserve">TXN_2026_009365</t>
  </si>
  <si>
    <t xml:space="preserve">EXC_00166</t>
  </si>
  <si>
    <t xml:space="preserve">TXN_2026_009366</t>
  </si>
  <si>
    <t xml:space="preserve">EXC_00167</t>
  </si>
  <si>
    <t xml:space="preserve">TXN_2026_009367</t>
  </si>
  <si>
    <t xml:space="preserve">EXC_00168</t>
  </si>
  <si>
    <t xml:space="preserve">TXN_2026_009368</t>
  </si>
  <si>
    <t xml:space="preserve">EXC_00169</t>
  </si>
  <si>
    <t xml:space="preserve">TXN_2026_009369</t>
  </si>
  <si>
    <t xml:space="preserve">EXC_00170</t>
  </si>
  <si>
    <t xml:space="preserve">TXN_2026_009370</t>
  </si>
  <si>
    <t xml:space="preserve">EXC_00171</t>
  </si>
  <si>
    <t xml:space="preserve">TXN_2026_009371</t>
  </si>
  <si>
    <t xml:space="preserve">EXC_00172</t>
  </si>
  <si>
    <t xml:space="preserve">TXN_2026_009372</t>
  </si>
  <si>
    <t xml:space="preserve">EXC_00173</t>
  </si>
  <si>
    <t xml:space="preserve">TXN_2026_009373</t>
  </si>
  <si>
    <t xml:space="preserve">EXC_00174</t>
  </si>
  <si>
    <t xml:space="preserve">TXN_2026_009374</t>
  </si>
  <si>
    <t xml:space="preserve">EXC_00175</t>
  </si>
  <si>
    <t xml:space="preserve">TXN_2026_009375</t>
  </si>
  <si>
    <t xml:space="preserve">EXC_00176</t>
  </si>
  <si>
    <t xml:space="preserve">TXN_2026_009376</t>
  </si>
  <si>
    <t xml:space="preserve">EXC_00177</t>
  </si>
  <si>
    <t xml:space="preserve">TXN_2026_009377</t>
  </si>
  <si>
    <t xml:space="preserve">EXC_00178</t>
  </si>
  <si>
    <t xml:space="preserve">TXN_2026_009378</t>
  </si>
  <si>
    <t xml:space="preserve">EXC_00179</t>
  </si>
  <si>
    <t xml:space="preserve">TXN_2026_009379</t>
  </si>
  <si>
    <t xml:space="preserve">EXC_00180</t>
  </si>
  <si>
    <t xml:space="preserve">TXN_2026_009380</t>
  </si>
  <si>
    <t xml:space="preserve">EXC_00181</t>
  </si>
  <si>
    <t xml:space="preserve">TXN_2026_009381</t>
  </si>
  <si>
    <t xml:space="preserve">EXC_00182</t>
  </si>
  <si>
    <t xml:space="preserve">TXN_2026_009382</t>
  </si>
  <si>
    <t xml:space="preserve">EXC_00183</t>
  </si>
  <si>
    <t xml:space="preserve">TXN_2026_009383</t>
  </si>
  <si>
    <t xml:space="preserve">EXC_00184</t>
  </si>
  <si>
    <t xml:space="preserve">TXN_2026_009384</t>
  </si>
  <si>
    <t xml:space="preserve">EXC_00185</t>
  </si>
  <si>
    <t xml:space="preserve">TXN_2026_009385</t>
  </si>
  <si>
    <t xml:space="preserve">EXC_00186</t>
  </si>
  <si>
    <t xml:space="preserve">TXN_2026_009386</t>
  </si>
  <si>
    <t xml:space="preserve">EXC_00187</t>
  </si>
  <si>
    <t xml:space="preserve">TXN_2026_009387</t>
  </si>
  <si>
    <t xml:space="preserve">EXC_00188</t>
  </si>
  <si>
    <t xml:space="preserve">TXN_2026_009388</t>
  </si>
  <si>
    <t xml:space="preserve">EXC_00189</t>
  </si>
  <si>
    <t xml:space="preserve">TXN_2026_009389</t>
  </si>
  <si>
    <t xml:space="preserve">EXC_00190</t>
  </si>
  <si>
    <t xml:space="preserve">TXN_2026_009390</t>
  </si>
  <si>
    <t xml:space="preserve">EXC_00191</t>
  </si>
  <si>
    <t xml:space="preserve">TXN_2026_009391</t>
  </si>
  <si>
    <t xml:space="preserve">EXC_00192</t>
  </si>
  <si>
    <t xml:space="preserve">TXN_2026_009392</t>
  </si>
  <si>
    <t xml:space="preserve">EXC_00193</t>
  </si>
  <si>
    <t xml:space="preserve">TXN_2026_009393</t>
  </si>
  <si>
    <t xml:space="preserve">EXC_00194</t>
  </si>
  <si>
    <t xml:space="preserve">TXN_2026_009394</t>
  </si>
  <si>
    <t xml:space="preserve">EXC_00195</t>
  </si>
  <si>
    <t xml:space="preserve">TXN_2026_009395</t>
  </si>
  <si>
    <t xml:space="preserve">EXC_00196</t>
  </si>
  <si>
    <t xml:space="preserve">TXN_2026_009396</t>
  </si>
  <si>
    <t xml:space="preserve">EXC_00197</t>
  </si>
  <si>
    <t xml:space="preserve">TXN_2026_009397</t>
  </si>
  <si>
    <t xml:space="preserve">EXC_00198</t>
  </si>
  <si>
    <t xml:space="preserve">TXN_2026_009398</t>
  </si>
  <si>
    <t xml:space="preserve">EXC_00199</t>
  </si>
  <si>
    <t xml:space="preserve">TXN_2026_009399</t>
  </si>
  <si>
    <t xml:space="preserve">EXC_00200</t>
  </si>
  <si>
    <t xml:space="preserve">TXN_2026_009400</t>
  </si>
  <si>
    <t xml:space="preserve">EXC_00201</t>
  </si>
  <si>
    <t xml:space="preserve">TXN_2026_009401</t>
  </si>
  <si>
    <t xml:space="preserve">EXC_00202</t>
  </si>
  <si>
    <t xml:space="preserve">TXN_2026_009402</t>
  </si>
  <si>
    <t xml:space="preserve">EXC_00203</t>
  </si>
  <si>
    <t xml:space="preserve">TXN_2026_009403</t>
  </si>
  <si>
    <t xml:space="preserve">EXC_00204</t>
  </si>
  <si>
    <t xml:space="preserve">TXN_2026_009404</t>
  </si>
  <si>
    <t xml:space="preserve">EXC_00205</t>
  </si>
  <si>
    <t xml:space="preserve">TXN_2026_009405</t>
  </si>
  <si>
    <t xml:space="preserve">EXC_00206</t>
  </si>
  <si>
    <t xml:space="preserve">TXN_2026_009406</t>
  </si>
  <si>
    <t xml:space="preserve">EXC_00207</t>
  </si>
  <si>
    <t xml:space="preserve">TXN_2026_009407</t>
  </si>
  <si>
    <t xml:space="preserve">EXC_00208</t>
  </si>
  <si>
    <t xml:space="preserve">TXN_2026_009408</t>
  </si>
  <si>
    <t xml:space="preserve">EXC_00209</t>
  </si>
  <si>
    <t xml:space="preserve">TXN_2026_009409</t>
  </si>
  <si>
    <t xml:space="preserve">EXC_00210</t>
  </si>
  <si>
    <t xml:space="preserve">TXN_2026_009410</t>
  </si>
  <si>
    <t xml:space="preserve">EXC_00211</t>
  </si>
  <si>
    <t xml:space="preserve">TXN_2026_009411</t>
  </si>
  <si>
    <t xml:space="preserve">EXC_00212</t>
  </si>
  <si>
    <t xml:space="preserve">TXN_2026_009412</t>
  </si>
  <si>
    <t xml:space="preserve">EXC_00213</t>
  </si>
  <si>
    <t xml:space="preserve">TXN_2026_009413</t>
  </si>
  <si>
    <t xml:space="preserve">EXC_00214</t>
  </si>
  <si>
    <t xml:space="preserve">TXN_2026_009414</t>
  </si>
  <si>
    <t xml:space="preserve">EXC_00215</t>
  </si>
  <si>
    <t xml:space="preserve">TXN_2026_009415</t>
  </si>
  <si>
    <t xml:space="preserve">EXC_00216</t>
  </si>
  <si>
    <t xml:space="preserve">TXN_2026_009416</t>
  </si>
  <si>
    <t xml:space="preserve">EXC_00217</t>
  </si>
  <si>
    <t xml:space="preserve">TXN_2026_009417</t>
  </si>
  <si>
    <t xml:space="preserve">EXC_00218</t>
  </si>
  <si>
    <t xml:space="preserve">TXN_2026_009418</t>
  </si>
  <si>
    <t xml:space="preserve">EXC_00219</t>
  </si>
  <si>
    <t xml:space="preserve">TXN_2026_009419</t>
  </si>
  <si>
    <t xml:space="preserve">EXC_00220</t>
  </si>
  <si>
    <t xml:space="preserve">TXN_2026_009420</t>
  </si>
  <si>
    <t xml:space="preserve">EXC_00221</t>
  </si>
  <si>
    <t xml:space="preserve">TXN_2026_009421</t>
  </si>
  <si>
    <t xml:space="preserve">EXC_00222</t>
  </si>
  <si>
    <t xml:space="preserve">TXN_2026_009422</t>
  </si>
  <si>
    <t xml:space="preserve">EXC_00223</t>
  </si>
  <si>
    <t xml:space="preserve">TXN_2026_009423</t>
  </si>
  <si>
    <t xml:space="preserve">EXC_00224</t>
  </si>
  <si>
    <t xml:space="preserve">TXN_2026_009424</t>
  </si>
  <si>
    <t xml:space="preserve">EXC_00225</t>
  </si>
  <si>
    <t xml:space="preserve">TXN_2026_009425</t>
  </si>
  <si>
    <t xml:space="preserve">EXC_00226</t>
  </si>
  <si>
    <t xml:space="preserve">TXN_2026_009426</t>
  </si>
  <si>
    <t xml:space="preserve">EXC_00227</t>
  </si>
  <si>
    <t xml:space="preserve">TXN_2026_009427</t>
  </si>
  <si>
    <t xml:space="preserve">EXC_00228</t>
  </si>
  <si>
    <t xml:space="preserve">TXN_2026_009428</t>
  </si>
  <si>
    <t xml:space="preserve">EXC_00229</t>
  </si>
  <si>
    <t xml:space="preserve">TXN_2026_009429</t>
  </si>
  <si>
    <t xml:space="preserve">EXC_00230</t>
  </si>
  <si>
    <t xml:space="preserve">TXN_2026_009430</t>
  </si>
  <si>
    <t xml:space="preserve">EXC_00231</t>
  </si>
  <si>
    <t xml:space="preserve">TXN_2026_009431</t>
  </si>
  <si>
    <t xml:space="preserve">EXC_00232</t>
  </si>
  <si>
    <t xml:space="preserve">TXN_2026_009432</t>
  </si>
  <si>
    <t xml:space="preserve">EXC_00233</t>
  </si>
  <si>
    <t xml:space="preserve">TXN_2026_009433</t>
  </si>
  <si>
    <t xml:space="preserve">EXC_00234</t>
  </si>
  <si>
    <t xml:space="preserve">TXN_2026_009434</t>
  </si>
  <si>
    <t xml:space="preserve">EXC_00235</t>
  </si>
  <si>
    <t xml:space="preserve">TXN_2026_009435</t>
  </si>
  <si>
    <t xml:space="preserve">EXC_00236</t>
  </si>
  <si>
    <t xml:space="preserve">TXN_2026_009436</t>
  </si>
  <si>
    <t xml:space="preserve">EXC_00237</t>
  </si>
  <si>
    <t xml:space="preserve">TXN_2026_009437</t>
  </si>
  <si>
    <t xml:space="preserve">EXC_00238</t>
  </si>
  <si>
    <t xml:space="preserve">TXN_2026_009438</t>
  </si>
  <si>
    <t xml:space="preserve">EXC_00239</t>
  </si>
  <si>
    <t xml:space="preserve">TXN_2026_009439</t>
  </si>
  <si>
    <t xml:space="preserve">EXC_00240</t>
  </si>
  <si>
    <t xml:space="preserve">TXN_2026_009440</t>
  </si>
  <si>
    <t xml:space="preserve">EXC_00241</t>
  </si>
  <si>
    <t xml:space="preserve">TXN_2026_009441</t>
  </si>
  <si>
    <t xml:space="preserve">EXC_00242</t>
  </si>
  <si>
    <t xml:space="preserve">TXN_2026_009442</t>
  </si>
  <si>
    <t xml:space="preserve">EXC_00243</t>
  </si>
  <si>
    <t xml:space="preserve">TXN_2026_009443</t>
  </si>
  <si>
    <t xml:space="preserve">EXC_00244</t>
  </si>
  <si>
    <t xml:space="preserve">TXN_2026_009444</t>
  </si>
  <si>
    <t xml:space="preserve">EXC_00245</t>
  </si>
  <si>
    <t xml:space="preserve">TXN_2026_009445</t>
  </si>
  <si>
    <t xml:space="preserve">EXC_00246</t>
  </si>
  <si>
    <t xml:space="preserve">TXN_2026_009446</t>
  </si>
  <si>
    <t xml:space="preserve">EXC_00247</t>
  </si>
  <si>
    <t xml:space="preserve">TXN_2026_009447</t>
  </si>
  <si>
    <t xml:space="preserve">EXC_00248</t>
  </si>
  <si>
    <t xml:space="preserve">TXN_2026_009448</t>
  </si>
  <si>
    <t xml:space="preserve">EXC_00249</t>
  </si>
  <si>
    <t xml:space="preserve">TXN_2026_009449</t>
  </si>
  <si>
    <t xml:space="preserve">EXC_00250</t>
  </si>
  <si>
    <t xml:space="preserve">TXN_2026_009450</t>
  </si>
  <si>
    <t xml:space="preserve">KPI ID</t>
  </si>
  <si>
    <t xml:space="preserve">KPI Name</t>
  </si>
  <si>
    <t xml:space="preserve">Actual Verified Value</t>
  </si>
  <si>
    <t xml:space="preserve">Unit</t>
  </si>
  <si>
    <t xml:space="preserve">Formula Definition</t>
  </si>
  <si>
    <t xml:space="preserve">Eligible Population</t>
  </si>
  <si>
    <t xml:space="preserve">KPI_VOL_01</t>
  </si>
  <si>
    <t xml:space="preserve">Volume</t>
  </si>
  <si>
    <t xml:space="preserve">Total Raw Transaction Count</t>
  </si>
  <si>
    <t xml:space="preserve">Records</t>
  </si>
  <si>
    <t xml:space="preserve">COUNT(*) FROM raw_staging.stg_transactions</t>
  </si>
  <si>
    <t xml:space="preserve">All raw ingested transaction rows</t>
  </si>
  <si>
    <t xml:space="preserve">KPI_VOL_02</t>
  </si>
  <si>
    <t xml:space="preserve">Validated Distinct Transaction Count</t>
  </si>
  <si>
    <t xml:space="preserve">Transactions</t>
  </si>
  <si>
    <t xml:space="preserve">COUNT(DISTINCT transaction_id) FROM validated.transactions</t>
  </si>
  <si>
    <t xml:space="preserve">Validated INR ledger transactions</t>
  </si>
  <si>
    <t xml:space="preserve">KPI_VOL_03</t>
  </si>
  <si>
    <t xml:space="preserve">Distinct Customer Count</t>
  </si>
  <si>
    <t xml:space="preserve">Customers</t>
  </si>
  <si>
    <t xml:space="preserve">COUNT(DISTINCT customer_id) FROM validated.transactions</t>
  </si>
  <si>
    <t xml:space="preserve">Validated ledger transactions</t>
  </si>
  <si>
    <t xml:space="preserve">KPI_VOL_04</t>
  </si>
  <si>
    <t xml:space="preserve">Distinct Merchant Count</t>
  </si>
  <si>
    <t xml:space="preserve">Merchants</t>
  </si>
  <si>
    <t xml:space="preserve">COUNT(DISTINCT merchant_id) FROM validated.merchants</t>
  </si>
  <si>
    <t xml:space="preserve">Active onboarded merchants</t>
  </si>
  <si>
    <t xml:space="preserve">KPI_VOL_05</t>
  </si>
  <si>
    <t xml:space="preserve">Validated Settlement Record Count</t>
  </si>
  <si>
    <t xml:space="preserve">COUNT(*) FROM validated.settlements</t>
  </si>
  <si>
    <t xml:space="preserve">Deduplicated settlement lines</t>
  </si>
  <si>
    <t xml:space="preserve">KPI_VOL_06</t>
  </si>
  <si>
    <t xml:space="preserve">Validated Bank-Entry Count</t>
  </si>
  <si>
    <t xml:space="preserve">COUNT(*) FROM validated.bank_entries</t>
  </si>
  <si>
    <t xml:space="preserve">Validated bank statement rows</t>
  </si>
  <si>
    <t xml:space="preserve">KPI_VOL_07</t>
  </si>
  <si>
    <t xml:space="preserve">Validated Refund Count</t>
  </si>
  <si>
    <t xml:space="preserve">COUNT(*) FROM validated.refunds</t>
  </si>
  <si>
    <t xml:space="preserve">Validated refund records</t>
  </si>
  <si>
    <t xml:space="preserve">KPI_VOL_08</t>
  </si>
  <si>
    <t xml:space="preserve">Reconciliation Evaluated Record Count</t>
  </si>
  <si>
    <t xml:space="preserve">Cases</t>
  </si>
  <si>
    <t xml:space="preserve">COUNT(*) FROM reconciliation.reconciliation_matches</t>
  </si>
  <si>
    <t xml:space="preserve">All 10,000 evaluated cases (txns + orphans + quarantined)</t>
  </si>
  <si>
    <t xml:space="preserve">KPI_VOL_09</t>
  </si>
  <si>
    <t xml:space="preserve">Total Distinct Exception Count</t>
  </si>
  <si>
    <t xml:space="preserve">Exceptions</t>
  </si>
  <si>
    <t xml:space="preserve">COUNT(DISTINCT exception_id) FROM reconciliation.exceptions</t>
  </si>
  <si>
    <t xml:space="preserve">All detected reconciliation &amp; DQ exceptions</t>
  </si>
  <si>
    <t xml:space="preserve">KPI_VOL_10</t>
  </si>
  <si>
    <t xml:space="preserve">Quarantined Source Record Count</t>
  </si>
  <si>
    <t xml:space="preserve">COUNT(*) FROM raw_staging.quarantine_records</t>
  </si>
  <si>
    <t xml:space="preserve">Records failing schema/currency/amount validation</t>
  </si>
  <si>
    <t xml:space="preserve">KPI_VOL_11</t>
  </si>
  <si>
    <t xml:space="preserve">Suppressed Duplicate Ingestion Count</t>
  </si>
  <si>
    <t xml:space="preserve">Raw rows minus deduplicated staging rows</t>
  </si>
  <si>
    <t xml:space="preserve">Replay rows suppressed at ingestion (25 txn + 25 stl)</t>
  </si>
  <si>
    <t xml:space="preserve">KPI_FIN_01</t>
  </si>
  <si>
    <t xml:space="preserve">Financial</t>
  </si>
  <si>
    <t xml:space="preserve">Total Validated Gross Transaction Value</t>
  </si>
  <si>
    <t xml:space="preserve">SUM(transaction_amount) FROM validated.transactions</t>
  </si>
  <si>
    <t xml:space="preserve">9,885 validated INR ledger transactions</t>
  </si>
  <si>
    <t xml:space="preserve">KPI_FIN_02</t>
  </si>
  <si>
    <t xml:space="preserve">Total Validated Gross Settlement Value</t>
  </si>
  <si>
    <t xml:space="preserve">SUM(gross_amount) FROM validated.settlements</t>
  </si>
  <si>
    <t xml:space="preserve">10,065 validated settlement lines</t>
  </si>
  <si>
    <t xml:space="preserve">KPI_FIN_03</t>
  </si>
  <si>
    <t xml:space="preserve">Total Settlement Fee &amp; Adjustment Value</t>
  </si>
  <si>
    <t xml:space="preserve">SUM(fee_amount) FROM validated.settlements</t>
  </si>
  <si>
    <t xml:space="preserve">KPI_FIN_04</t>
  </si>
  <si>
    <t xml:space="preserve">Total Validated Net Settlement Value</t>
  </si>
  <si>
    <t xml:space="preserve">SUM(net_settlement_amount) FROM validated.settlements</t>
  </si>
  <si>
    <t xml:space="preserve">KPI_FIN_05</t>
  </si>
  <si>
    <t xml:space="preserve">Total Bank Credit Value</t>
  </si>
  <si>
    <t xml:space="preserve">SUM(credit_amount) FROM validated.bank_entries</t>
  </si>
  <si>
    <t xml:space="preserve">10,070 validated bank entries</t>
  </si>
  <si>
    <t xml:space="preserve">KPI_FIN_06</t>
  </si>
  <si>
    <t xml:space="preserve">Total Bank Debit Value</t>
  </si>
  <si>
    <t xml:space="preserve">SUM(debit_amount) FROM validated.bank_entries</t>
  </si>
  <si>
    <t xml:space="preserve">KPI_FIN_07</t>
  </si>
  <si>
    <t xml:space="preserve">Total Requested Refund Value</t>
  </si>
  <si>
    <t xml:space="preserve">SUM(refund_amount) FROM validated.refunds</t>
  </si>
  <si>
    <t xml:space="preserve">250 validated refund records</t>
  </si>
  <si>
    <t xml:space="preserve">KPI_FIN_08</t>
  </si>
  <si>
    <t xml:space="preserve">Total Expected Net Financial Value</t>
  </si>
  <si>
    <t xml:space="preserve">SUM(expected_amount) FROM reconciliation_matches</t>
  </si>
  <si>
    <t xml:space="preserve">All 10,000 reconciliation cases</t>
  </si>
  <si>
    <t xml:space="preserve">KPI_FIN_09</t>
  </si>
  <si>
    <t xml:space="preserve">Total Observed Net Financial Value</t>
  </si>
  <si>
    <t xml:space="preserve">SUM(observed_amount) FROM reconciliation_matches</t>
  </si>
  <si>
    <t xml:space="preserve">KPI_FIN_10</t>
  </si>
  <si>
    <t xml:space="preserve">Net Signed Discrepancy</t>
  </si>
  <si>
    <t xml:space="preserve">SUM(observed_amount - expected_amount)</t>
  </si>
  <si>
    <t xml:space="preserve">KPI_FIN_11</t>
  </si>
  <si>
    <t xml:space="preserve">Total Absolute Discrepancy (All Cases)</t>
  </si>
  <si>
    <t xml:space="preserve">SUM(ABS(observed_amount - expected_amount))</t>
  </si>
  <si>
    <t xml:space="preserve">KPI_FIN_12</t>
  </si>
  <si>
    <t xml:space="preserve">Outstanding Discrepancy Exposure</t>
  </si>
  <si>
    <t xml:space="preserve">SUM(ABS(signed_variance)) WHERE resolution_status IN ('OPEN', 'REOPENED')</t>
  </si>
  <si>
    <t xml:space="preserve">Unresolved (OPEN + REOPENED) exceptions only</t>
  </si>
  <si>
    <t xml:space="preserve">KPI_FIN_13</t>
  </si>
  <si>
    <t xml:space="preserve">Confirmed Financial Loss</t>
  </si>
  <si>
    <t xml:space="preserve">SUM(confirmed_loss) FROM reconciliation.exceptions</t>
  </si>
  <si>
    <t xml:space="preserve">Independently evidenced write-off cases (15 cases)</t>
  </si>
  <si>
    <t xml:space="preserve">KPI_REC_01</t>
  </si>
  <si>
    <t xml:space="preserve">Overall Ledger Reconciliation Rate</t>
  </si>
  <si>
    <t xml:space="preserve">%</t>
  </si>
  <si>
    <t xml:space="preserve">(Matched Validated Ledger Txns / Total Validated Ledger Txns) * 100</t>
  </si>
  <si>
    <t xml:space="preserve">KPI_REC_02</t>
  </si>
  <si>
    <t xml:space="preserve">Total Ecosystem Match Rate (10K Cases)</t>
  </si>
  <si>
    <t xml:space="preserve">(Matched Cases / All 10,000 Evaluated Cases) * 100</t>
  </si>
  <si>
    <t xml:space="preserve">All 10,000 evaluated ecosystem cases</t>
  </si>
  <si>
    <t xml:space="preserve">KPI_REC_03</t>
  </si>
  <si>
    <t xml:space="preserve">Exact Match Rate (R1)</t>
  </si>
  <si>
    <t xml:space="preserve">(MATCHED_EXACT Count / Validated Ledger Txns) * 100</t>
  </si>
  <si>
    <t xml:space="preserve">KPI_REC_04</t>
  </si>
  <si>
    <t xml:space="preserve">Tolerance Match Rate (R2)</t>
  </si>
  <si>
    <t xml:space="preserve">(MATCHED_WITH_VARIANCE Count / Validated Ledger Txns) * 100</t>
  </si>
  <si>
    <t xml:space="preserve">KPI_REC_05</t>
  </si>
  <si>
    <t xml:space="preserve">Fee-Adjusted Match Rate (R3)</t>
  </si>
  <si>
    <t xml:space="preserve">(MATCHED_FEE_ADJUSTED Count / Validated Ledger Txns) * 100</t>
  </si>
  <si>
    <t xml:space="preserve">KPI_REC_06</t>
  </si>
  <si>
    <t xml:space="preserve">Multi-Part Complete Settlement Rate (R5)</t>
  </si>
  <si>
    <t xml:space="preserve">(MATCHED_PARTIAL Count / Validated Ledger Txns) * 100</t>
  </si>
  <si>
    <t xml:space="preserve">KPI_REC_07</t>
  </si>
  <si>
    <t xml:space="preserve">Partial Settlement Shortfall Rate (R5)</t>
  </si>
  <si>
    <t xml:space="preserve">(PARTIALLY_SETTLED Count / Validated Ledger Txns) * 100</t>
  </si>
  <si>
    <t xml:space="preserve">KPI_REC_08</t>
  </si>
  <si>
    <t xml:space="preserve">Late Settlement Rate (R4)</t>
  </si>
  <si>
    <t xml:space="preserve">(LATE_SETTLEMENT Count / Validated Ledger Txns) * 100</t>
  </si>
  <si>
    <t xml:space="preserve">KPI_REC_09</t>
  </si>
  <si>
    <t xml:space="preserve">Bank Timing Exception Rate (R4)</t>
  </si>
  <si>
    <t xml:space="preserve">(TIMING_EXCEPTION Count / Validated Ledger Txns) * 100</t>
  </si>
  <si>
    <t xml:space="preserve">KPI_REC_10</t>
  </si>
  <si>
    <t xml:space="preserve">Missing Settlement Rate (R7)</t>
  </si>
  <si>
    <t xml:space="preserve">(MISSING_SETTLEMENT Count / Validated Ledger Txns) * 100</t>
  </si>
  <si>
    <t xml:space="preserve">KPI_REC_11</t>
  </si>
  <si>
    <t xml:space="preserve">Missing Ledger Counterpart Rate (R7)</t>
  </si>
  <si>
    <t xml:space="preserve">(MISSING_LEDGER Count / All Evaluated Cases) * 100</t>
  </si>
  <si>
    <t xml:space="preserve">All 10,000 evaluated cases</t>
  </si>
  <si>
    <t xml:space="preserve">KPI_REC_12</t>
  </si>
  <si>
    <t xml:space="preserve">Missing Bank-Entry Rate (R7)</t>
  </si>
  <si>
    <t xml:space="preserve">(MISSING_BANK_ENTRY Count / Validated Ledger Txns) * 100</t>
  </si>
  <si>
    <t xml:space="preserve">KPI_REC_13</t>
  </si>
  <si>
    <t xml:space="preserve">Ambiguous Match Rate (R8)</t>
  </si>
  <si>
    <t xml:space="preserve">(AMBIGUOUS_MATCH Count / Validated Ledger Txns) * 100</t>
  </si>
  <si>
    <t xml:space="preserve">KPI_REC_14</t>
  </si>
  <si>
    <t xml:space="preserve">Confirmed Duplicate Rate (R6)</t>
  </si>
  <si>
    <t xml:space="preserve">(DUPLICATE_CONFIRMED Count / Validated Settlements) * 100</t>
  </si>
  <si>
    <t xml:space="preserve">KPI_REC_15</t>
  </si>
  <si>
    <t xml:space="preserve">Duplicate Candidate Rate (R6)</t>
  </si>
  <si>
    <t xml:space="preserve">(DUPLICATE_CANDIDATE Count / Validated Settlements) * 100</t>
  </si>
  <si>
    <t xml:space="preserve">KPI_REC_16</t>
  </si>
  <si>
    <t xml:space="preserve">Refund Exception Rate (R9)</t>
  </si>
  <si>
    <t xml:space="preserve">(Refund Exceptions / Validated Refunds) * 100</t>
  </si>
  <si>
    <t xml:space="preserve">KPI_REC_17</t>
  </si>
  <si>
    <t xml:space="preserve">Manual Review Rate</t>
  </si>
  <si>
    <t xml:space="preserve">(MANUAL_REVIEW Count / Validated Ledger Txns) * 100</t>
  </si>
  <si>
    <t xml:space="preserve">KPI_EXC_01</t>
  </si>
  <si>
    <t xml:space="preserve">Exception Management</t>
  </si>
  <si>
    <t xml:space="preserve">Total Unresolved Exceptions (OPEN + REOPENED)</t>
  </si>
  <si>
    <t xml:space="preserve">COUNT(*) WHERE resolution_status IN ('OPEN', 'REOPENED')</t>
  </si>
  <si>
    <t xml:space="preserve">800 total detected exceptions</t>
  </si>
  <si>
    <t xml:space="preserve">KPI_EXC_02</t>
  </si>
  <si>
    <t xml:space="preserve">Total Resolved Exceptions</t>
  </si>
  <si>
    <t xml:space="preserve">COUNT(*) WHERE resolution_status = 'RESOLVED'</t>
  </si>
  <si>
    <t xml:space="preserve">KPI_EXC_03</t>
  </si>
  <si>
    <t xml:space="preserve">Reopened Exception Count</t>
  </si>
  <si>
    <t xml:space="preserve">COUNT(*) WHERE resolution_status = 'REOPENED'</t>
  </si>
  <si>
    <t xml:space="preserve">KPI_EXC_04</t>
  </si>
  <si>
    <t xml:space="preserve">Exception Resolution Rate</t>
  </si>
  <si>
    <t xml:space="preserve">(Resolved Exceptions / Total Exceptions) * 100</t>
  </si>
  <si>
    <t xml:space="preserve">KPI_EXC_05</t>
  </si>
  <si>
    <t xml:space="preserve">Average Resolution Time</t>
  </si>
  <si>
    <t xml:space="preserve">Days</t>
  </si>
  <si>
    <t xml:space="preserve">AVG(exception_age_days) WHERE resolution_status = 'RESOLVED'</t>
  </si>
  <si>
    <t xml:space="preserve">95 resolved exceptions</t>
  </si>
  <si>
    <t xml:space="preserve">N/A</t>
  </si>
  <si>
    <t xml:space="preserve">KPI_EXC_06</t>
  </si>
  <si>
    <t xml:space="preserve">Median Resolution Time</t>
  </si>
  <si>
    <t xml:space="preserve">MEDIAN(exception_age_days) WHERE resolution_status = 'RESOLVED'</t>
  </si>
  <si>
    <t xml:space="preserve">KPI_DQ_01</t>
  </si>
  <si>
    <t xml:space="preserve">Data Quality</t>
  </si>
  <si>
    <t xml:space="preserve">Data Quality Pass Rate (Transactions)</t>
  </si>
  <si>
    <t xml:space="preserve">(Validated Txns / Raw Ingested Txns) * 100</t>
  </si>
  <si>
    <t xml:space="preserve">9,955 raw ingested transaction rows</t>
  </si>
  <si>
    <t xml:space="preserve">KPI_DQ_02</t>
  </si>
  <si>
    <t xml:space="preserve">Mandatory-Field Completeness Rate</t>
  </si>
  <si>
    <t xml:space="preserve">((Raw Rows - Missing Mandatory/Date Rows) / Raw Rows) * 100</t>
  </si>
  <si>
    <t xml:space="preserve">KPI_DQ_03</t>
  </si>
  <si>
    <t xml:space="preserve">Quarantine Rate</t>
  </si>
  <si>
    <t xml:space="preserve">(Quarantined Rows / Raw Ingested Txns) * 100</t>
  </si>
  <si>
    <t xml:space="preserve">KPI_GT_01</t>
  </si>
  <si>
    <t xml:space="preserve">Ground Truth QA</t>
  </si>
  <si>
    <t xml:space="preserve">Overall Classification Accuracy (10K Cases)</t>
  </si>
  <si>
    <t xml:space="preserve">(Correctly Classified Cases / 10,000 Total Cases) * 100</t>
  </si>
  <si>
    <t xml:space="preserve">All 10,000 ground-truth cases</t>
  </si>
  <si>
    <t xml:space="preserve">KPI_GT_02</t>
  </si>
  <si>
    <t xml:space="preserve">Planted Exception Recall (Detection Rate)</t>
  </si>
  <si>
    <t xml:space="preserve">(True Positives / Total Planted Exceptions) * 100</t>
  </si>
  <si>
    <t xml:space="preserve">800 planted exception cases</t>
  </si>
  <si>
    <t xml:space="preserve">KPI_GT_03</t>
  </si>
  <si>
    <t xml:space="preserve">Planted Exception Precision</t>
  </si>
  <si>
    <t xml:space="preserve">(True Positives / (True Positives + False Positives)) * 100</t>
  </si>
  <si>
    <t xml:space="preserve">All flagged exceptions</t>
  </si>
  <si>
    <t xml:space="preserve">KPI_GT_04</t>
  </si>
  <si>
    <t xml:space="preserve">Clean-Record False-Positive Rate</t>
  </si>
  <si>
    <t xml:space="preserve">(Clean Records Flagged as Exception / 9,200 Clean Cases) * 100</t>
  </si>
  <si>
    <t xml:space="preserve">9,200 clean match cases</t>
  </si>
  <si>
    <t xml:space="preserve">Classification / Category</t>
  </si>
  <si>
    <t xml:space="preserve">Outcome Group / Rule</t>
  </si>
  <si>
    <t xml:space="preserve">Record Count</t>
  </si>
  <si>
    <t xml:space="preserve">Confirmed Loss (INR)</t>
  </si>
  <si>
    <t xml:space="preserve">MATCHED_EXACT</t>
  </si>
  <si>
    <t xml:space="preserve">R1_EXACT</t>
  </si>
  <si>
    <t xml:space="preserve">MATCHED_WITH_VARIANCE</t>
  </si>
  <si>
    <t xml:space="preserve">R2_TOLERANCE</t>
  </si>
  <si>
    <t xml:space="preserve">MATCHED_FEE_ADJUSTED</t>
  </si>
  <si>
    <t xml:space="preserve">R3_FEE_ADJUSTED</t>
  </si>
  <si>
    <t xml:space="preserve">MATCHED_PARTIAL</t>
  </si>
  <si>
    <t xml:space="preserve">Log Entry ID</t>
  </si>
  <si>
    <t xml:space="preserve">Run ID</t>
  </si>
  <si>
    <t xml:space="preserve">Execution Timestamp</t>
  </si>
  <si>
    <t xml:space="preserve">Workflow Step</t>
  </si>
  <si>
    <t xml:space="preserve">Execution Status</t>
  </si>
  <si>
    <t xml:space="preserve">Version</t>
  </si>
  <si>
    <t xml:space="preserve">Audit Details</t>
  </si>
  <si>
    <t xml:space="preserve">LOG_0001</t>
  </si>
  <si>
    <t xml:space="preserve">2026-10-25 20:00:01</t>
  </si>
  <si>
    <t xml:space="preserve">SyntheticDataGeneration</t>
  </si>
  <si>
    <t xml:space="preserve">v1.0.0</t>
  </si>
  <si>
    <t xml:space="preserve">Generated 10,000 cases across 28 planted scenarios (Seed=42).</t>
  </si>
  <si>
    <t xml:space="preserve">LOG_0002</t>
  </si>
  <si>
    <t xml:space="preserve">2026-10-25 20:00:02</t>
  </si>
  <si>
    <t xml:space="preserve">SchemaValidation</t>
  </si>
  <si>
    <t xml:space="preserve">Verified headers &amp; required columns on all 6 CSV files.</t>
  </si>
  <si>
    <t xml:space="preserve">LOG_0003</t>
  </si>
  <si>
    <t xml:space="preserve">2026-10-25 20:00:03</t>
  </si>
  <si>
    <t xml:space="preserve">DataQualityAndQuarantine</t>
  </si>
  <si>
    <t xml:space="preserve">Validated 9,885 txns; quarantined 45 defects; suppressed 50 replay rows.</t>
  </si>
  <si>
    <t xml:space="preserve">LOG_0004</t>
  </si>
  <si>
    <t xml:space="preserve">2026-10-25 20:00:04</t>
  </si>
  <si>
    <t xml:space="preserve">DatabaseLoading</t>
  </si>
  <si>
    <t xml:space="preserve">Loaded staging and validated tables with 0.00 INR conservation diff.</t>
  </si>
  <si>
    <t xml:space="preserve">LOG_0005</t>
  </si>
  <si>
    <t xml:space="preserve">2026-10-25 20:00:06</t>
  </si>
  <si>
    <t xml:space="preserve">SQLReconciliationEngine</t>
  </si>
  <si>
    <t xml:space="preserve">RULE_SET_2026_10_v1</t>
  </si>
  <si>
    <t xml:space="preserve">Classified 9,200 matched and 800 exceptions across rules R1-R9.</t>
  </si>
  <si>
    <t xml:space="preserve">LOG_0006</t>
  </si>
  <si>
    <t xml:space="preserve">2026-10-25 20:00:08</t>
  </si>
  <si>
    <t xml:space="preserve">GroundTruthVerification</t>
  </si>
  <si>
    <t xml:space="preserve">v1.0.0-GT</t>
  </si>
  <si>
    <t xml:space="preserve">Verified 100.00% classification accuracy (10,000/10,000) and 0 false positives.</t>
  </si>
  <si>
    <t xml:space="preserve">LOG_0007</t>
  </si>
  <si>
    <t xml:space="preserve">2026-10-25 20:00:10</t>
  </si>
  <si>
    <t xml:space="preserve">WorkbookRecalculation</t>
  </si>
  <si>
    <t xml:space="preserve">LibreOffice-Calc</t>
  </si>
  <si>
    <t xml:space="preserve">Recalculated all workbook formulas and validated zero formula errors.</t>
  </si>
  <si>
    <t xml:space="preserve">Parameter Key</t>
  </si>
  <si>
    <t xml:space="preserve">Parameter Value</t>
  </si>
  <si>
    <t xml:space="preserve">Unit / Type</t>
  </si>
  <si>
    <t xml:space="preserve">Rule Reference</t>
  </si>
  <si>
    <t xml:space="preserve">Description &amp; Governance Policy</t>
  </si>
  <si>
    <t xml:space="preserve">TOLERANCE_INR</t>
  </si>
  <si>
    <t xml:space="preserve">Project assumption for INR minor variance matching (+/- 1.00 INR)</t>
  </si>
  <si>
    <t xml:space="preserve">SLA_BUSINESS_DAYS</t>
  </si>
  <si>
    <t xml:space="preserve">Business Days</t>
  </si>
  <si>
    <t xml:space="preserve">Standard Mon-Fri settlement window before flagging LATE_SETTLEMENT</t>
  </si>
  <si>
    <t xml:space="preserve">GST_TAX_RATE</t>
  </si>
  <si>
    <t xml:space="preserve">Decimal Rate</t>
  </si>
  <si>
    <t xml:space="preserve">18% Goods and Services Tax applied to gateway MDR fees</t>
  </si>
  <si>
    <t xml:space="preserve">RANDOM_SEED</t>
  </si>
  <si>
    <t xml:space="preserve">Integer</t>
  </si>
  <si>
    <t xml:space="preserve">Generator</t>
  </si>
  <si>
    <t xml:space="preserve">Fixed random seed ensuring 100% deterministic data generation</t>
  </si>
  <si>
    <t xml:space="preserve">EVALUATION_POPULATION</t>
  </si>
  <si>
    <t xml:space="preserve">Ground Truth</t>
  </si>
  <si>
    <t xml:space="preserve">9,885 Validated Txns + 50 Orphan Stls + 20 Orphan Bank + 45 Quarantined</t>
  </si>
  <si>
    <t xml:space="preserve">Entity / Table</t>
  </si>
  <si>
    <t xml:space="preserve">Field Name</t>
  </si>
  <si>
    <t xml:space="preserve">Data Type</t>
  </si>
  <si>
    <t xml:space="preserve">Key / Constraint</t>
  </si>
  <si>
    <t xml:space="preserve">Mandatory</t>
  </si>
  <si>
    <t xml:space="preserve">Source System</t>
  </si>
  <si>
    <t xml:space="preserve">Business Definition</t>
  </si>
  <si>
    <t xml:space="preserve">transactions</t>
  </si>
  <si>
    <t xml:space="preserve">transaction_id</t>
  </si>
  <si>
    <t xml:space="preserve">VARCHAR(64)</t>
  </si>
  <si>
    <t xml:space="preserve">PRIMARY KEY</t>
  </si>
  <si>
    <t xml:space="preserve">YES</t>
  </si>
  <si>
    <t xml:space="preserve">CORE_SWITCH_LEDGER</t>
  </si>
  <si>
    <t xml:space="preserve">Unique payment transaction identifier (^TXN_[0-9]{4}_[0-9]{6}$)</t>
  </si>
  <si>
    <t xml:space="preserve">customer_id</t>
  </si>
  <si>
    <t xml:space="preserve">INDEXED</t>
  </si>
  <si>
    <t xml:space="preserve">Synthetic customer identifier (3,200 distinct customers)</t>
  </si>
  <si>
    <t xml:space="preserve">merchant_id</t>
  </si>
  <si>
    <t xml:space="preserve">VARCHAR(32)</t>
  </si>
  <si>
    <t xml:space="preserve">FOREIGN KEY</t>
  </si>
  <si>
    <t xml:space="preserve">Merchant identifier linking to validated.merchants</t>
  </si>
  <si>
    <t xml:space="preserve">transaction_amount</t>
  </si>
  <si>
    <t xml:space="preserve">NUMERIC(18,2)</t>
  </si>
  <si>
    <t xml:space="preserve">CHECK (&gt; 0)</t>
  </si>
  <si>
    <t xml:space="preserve">Gross captured transaction amount in INR</t>
  </si>
  <si>
    <t xml:space="preserve">expected_net_amount</t>
  </si>
  <si>
    <t xml:space="preserve">Expected net settlement after contracted MDR and 18% GST</t>
  </si>
  <si>
    <t xml:space="preserve">settlements</t>
  </si>
  <si>
    <t xml:space="preserve">settlement_id</t>
  </si>
  <si>
    <t xml:space="preserve">GATEWAY_FEED</t>
  </si>
  <si>
    <t xml:space="preserve">Unique settlement line identifier (^STL_2026_[0-9]{6}$)</t>
  </si>
  <si>
    <t xml:space="preserve">net_settlement_amount</t>
  </si>
  <si>
    <t xml:space="preserve">NOT NULL</t>
  </si>
  <si>
    <t xml:space="preserve">Observed net payout amount settled by gateway</t>
  </si>
  <si>
    <t xml:space="preserve">total_allocation_lines</t>
  </si>
  <si>
    <t xml:space="preserve">INTEGER</t>
  </si>
  <si>
    <t xml:space="preserve">CHECK (&gt;= 1)</t>
  </si>
  <si>
    <t xml:space="preserve">Number of installment lines for partial split settlements (R5)</t>
  </si>
  <si>
    <t xml:space="preserve">bank_entries</t>
  </si>
  <si>
    <t xml:space="preserve">bank_entry_id</t>
  </si>
  <si>
    <t xml:space="preserve">BANK_STATEMENT</t>
  </si>
  <si>
    <t xml:space="preserve">Unique bank statement line identifier (^BNK_2026_[0-9]{6}$)</t>
  </si>
  <si>
    <t xml:space="preserve">signed_bank_amount</t>
  </si>
  <si>
    <t xml:space="preserve">Credit amount minus debit amount posted to nodal account</t>
  </si>
  <si>
    <t xml:space="preserve">refunds</t>
  </si>
  <si>
    <t xml:space="preserve">refund_id</t>
  </si>
  <si>
    <t xml:space="preserve">REFUND_LEDGER</t>
  </si>
  <si>
    <t xml:space="preserve">Unique refund request identifier (^REF_2026_[0-9]{5}$)</t>
  </si>
  <si>
    <t xml:space="preserve">reconciliation_matches</t>
  </si>
  <si>
    <t xml:space="preserve">signed_variance</t>
  </si>
  <si>
    <t xml:space="preserve">SQL_RECON_ENGINE</t>
  </si>
  <si>
    <t xml:space="preserve">Observed Amount minus Expected Amount (exact Decimal)</t>
  </si>
  <si>
    <t xml:space="preserve">exceptions</t>
  </si>
  <si>
    <t xml:space="preserve">outstanding_exposure</t>
  </si>
  <si>
    <t xml:space="preserve">CHECK (&gt;= 0)</t>
  </si>
  <si>
    <t xml:space="preserve">Absolute variance for OPEN and REOPENED exceptions only (0 for RESOLVED)</t>
  </si>
  <si>
    <t xml:space="preserve">confirmed_loss</t>
  </si>
  <si>
    <t xml:space="preserve">Independently evidenced financial write-off loss (separate from exposure)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</si>
</sst>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0%"/>
    <numFmt numFmtId="168" formatCode="0.0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DCFCE7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F9F9F9"/>
      <rgbColor rgb="FFFFFF99"/>
      <rgbColor rgb="FF99CCFF"/>
      <rgbColor rgb="FFFF99CC"/>
      <rgbColor rgb="FFCC99FF"/>
      <rgbColor rgb="FFFEE2E2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Unresolved Discrepancy Exposure by Exception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Executive_Dashboard!H1</c:f>
              <c:strCache>
                <c:ptCount val="1"/>
                <c:pt idx="0">
                  <c:v>Unresolved Exposure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Executive_Dashboard!$A$2:$A$19</c:f>
              <c:strCache>
                <c:ptCount val="18"/>
                <c:pt idx="0">
                  <c:v>MISSING_SETTLEMENT</c:v>
                </c:pt>
                <c:pt idx="1">
                  <c:v>MISSING_LEDGER</c:v>
                </c:pt>
                <c:pt idx="2">
                  <c:v>DUPLICATE_CONFIRMED</c:v>
                </c:pt>
                <c:pt idx="3">
                  <c:v>PARTIALLY_SETTLED</c:v>
                </c:pt>
                <c:pt idx="4">
                  <c:v>AMBIGUOUS_MATCH</c:v>
                </c:pt>
                <c:pt idx="5">
                  <c:v>MISSING_BANK_ENTRY</c:v>
                </c:pt>
                <c:pt idx="6">
                  <c:v>MALFORMED_AMOUNT</c:v>
                </c:pt>
                <c:pt idx="7">
                  <c:v>INVALID_CURRENCY</c:v>
                </c:pt>
                <c:pt idx="8">
                  <c:v>MISSING_MANDATORY_FIELD</c:v>
                </c:pt>
                <c:pt idx="9">
                  <c:v>MISSING_DATE</c:v>
                </c:pt>
                <c:pt idx="10">
                  <c:v>INVALID_IDENTIFIER</c:v>
                </c:pt>
                <c:pt idx="11">
                  <c:v>UNREVERSED_REFUND</c:v>
                </c:pt>
                <c:pt idx="12">
                  <c:v>REFUND_MISMATCH</c:v>
                </c:pt>
                <c:pt idx="13">
                  <c:v>MISSING_REFUND_EVIDENCE</c:v>
                </c:pt>
                <c:pt idx="14">
                  <c:v>DUPLICATE_CANDIDATE</c:v>
                </c:pt>
                <c:pt idx="15">
                  <c:v>MANUAL_REVIEW</c:v>
                </c:pt>
                <c:pt idx="16">
                  <c:v>LATE_SETTLEMENT</c:v>
                </c:pt>
                <c:pt idx="17">
                  <c:v>TIMING_EXCEPTION</c:v>
                </c:pt>
              </c:strCache>
            </c:strRef>
          </c:cat>
          <c:val>
            <c:numRef>
              <c:f>Executive_Dashboard!$H$2:$H$19</c:f>
              <c:numCache>
                <c:formatCode>General</c:formatCode>
                <c:ptCount val="18"/>
                <c:pt idx="0">
                  <c:v>1073397.69</c:v>
                </c:pt>
                <c:pt idx="1">
                  <c:v>764719.96</c:v>
                </c:pt>
                <c:pt idx="2">
                  <c:v>672762.41</c:v>
                </c:pt>
                <c:pt idx="3">
                  <c:v>280826.42</c:v>
                </c:pt>
                <c:pt idx="4">
                  <c:v>170213.58</c:v>
                </c:pt>
                <c:pt idx="5">
                  <c:v>138177.61</c:v>
                </c:pt>
                <c:pt idx="6">
                  <c:v>111271.96</c:v>
                </c:pt>
                <c:pt idx="7">
                  <c:v>110638.9</c:v>
                </c:pt>
                <c:pt idx="8">
                  <c:v>94338.84</c:v>
                </c:pt>
                <c:pt idx="9">
                  <c:v>87951.19</c:v>
                </c:pt>
                <c:pt idx="10">
                  <c:v>77395.77</c:v>
                </c:pt>
                <c:pt idx="11">
                  <c:v>60823.03</c:v>
                </c:pt>
                <c:pt idx="12">
                  <c:v>55471.4</c:v>
                </c:pt>
                <c:pt idx="13">
                  <c:v>29491.84</c:v>
                </c:pt>
                <c:pt idx="14">
                  <c:v>23155.03</c:v>
                </c:pt>
                <c:pt idx="15">
                  <c:v>1875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87314765"/>
        <c:axId val="57285519"/>
      </c:barChart>
      <c:catAx>
        <c:axId val="87314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Exception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85519"/>
        <c:crosses val="autoZero"/>
        <c:auto val="1"/>
        <c:lblAlgn val="ctr"/>
        <c:lblOffset val="100"/>
        <c:noMultiLvlLbl val="0"/>
      </c:catAx>
      <c:valAx>
        <c:axId val="57285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Unresolved Exposure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14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Gross vs Expected Net Transaction Amounts (First 15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Transactions!G1</c:f>
              <c:strCache>
                <c:ptCount val="1"/>
                <c:pt idx="0">
                  <c:v>Gross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Transactions!$A$2:$A$16</c:f>
              <c:strCache>
                <c:ptCount val="15"/>
                <c:pt idx="0">
                  <c:v>TXN_2026_000001</c:v>
                </c:pt>
                <c:pt idx="1">
                  <c:v>TXN_2026_000001</c:v>
                </c:pt>
                <c:pt idx="2">
                  <c:v>TXN_2026_000002</c:v>
                </c:pt>
                <c:pt idx="3">
                  <c:v>TXN_2026_000002</c:v>
                </c:pt>
                <c:pt idx="4">
                  <c:v>TXN_2026_000003</c:v>
                </c:pt>
                <c:pt idx="5">
                  <c:v>TXN_2026_000003</c:v>
                </c:pt>
                <c:pt idx="6">
                  <c:v>TXN_2026_000004</c:v>
                </c:pt>
                <c:pt idx="7">
                  <c:v>TXN_2026_000004</c:v>
                </c:pt>
                <c:pt idx="8">
                  <c:v>TXN_2026_000005</c:v>
                </c:pt>
                <c:pt idx="9">
                  <c:v>TXN_2026_000005</c:v>
                </c:pt>
                <c:pt idx="10">
                  <c:v>TXN_2026_000006</c:v>
                </c:pt>
                <c:pt idx="11">
                  <c:v>TXN_2026_000006</c:v>
                </c:pt>
                <c:pt idx="12">
                  <c:v>TXN_2026_000007</c:v>
                </c:pt>
                <c:pt idx="13">
                  <c:v>TXN_2026_000007</c:v>
                </c:pt>
                <c:pt idx="14">
                  <c:v>TXN_2026_000008</c:v>
                </c:pt>
              </c:strCache>
            </c:strRef>
          </c:cat>
          <c:val>
            <c:numRef>
              <c:f>Transactions!$G$2:$G$16</c:f>
              <c:numCache>
                <c:formatCode>General</c:formatCode>
                <c:ptCount val="15"/>
                <c:pt idx="0">
                  <c:v>423.29</c:v>
                </c:pt>
                <c:pt idx="1">
                  <c:v>423.29</c:v>
                </c:pt>
                <c:pt idx="2">
                  <c:v>596.58</c:v>
                </c:pt>
                <c:pt idx="3">
                  <c:v>596.58</c:v>
                </c:pt>
                <c:pt idx="4">
                  <c:v>769.87</c:v>
                </c:pt>
                <c:pt idx="5">
                  <c:v>769.87</c:v>
                </c:pt>
                <c:pt idx="6">
                  <c:v>942.16</c:v>
                </c:pt>
                <c:pt idx="7">
                  <c:v>942.16</c:v>
                </c:pt>
                <c:pt idx="8">
                  <c:v>1115.45</c:v>
                </c:pt>
                <c:pt idx="9">
                  <c:v>1115.45</c:v>
                </c:pt>
                <c:pt idx="10">
                  <c:v>1288.74</c:v>
                </c:pt>
                <c:pt idx="11">
                  <c:v>1288.74</c:v>
                </c:pt>
                <c:pt idx="12">
                  <c:v>1461.03</c:v>
                </c:pt>
                <c:pt idx="13">
                  <c:v>1461.03</c:v>
                </c:pt>
                <c:pt idx="14">
                  <c:v>1634.32</c:v>
                </c:pt>
              </c:numCache>
            </c:numRef>
          </c:val>
        </c:ser>
        <c:ser>
          <c:idx val="1"/>
          <c:order val="1"/>
          <c:tx>
            <c:strRef>
              <c:f>Transactions!H1</c:f>
              <c:strCache>
                <c:ptCount val="1"/>
                <c:pt idx="0">
                  <c:v>Transaction Fee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Transactions!$A$2:$A$16</c:f>
              <c:strCache>
                <c:ptCount val="15"/>
                <c:pt idx="0">
                  <c:v>TXN_2026_000001</c:v>
                </c:pt>
                <c:pt idx="1">
                  <c:v>TXN_2026_000001</c:v>
                </c:pt>
                <c:pt idx="2">
                  <c:v>TXN_2026_000002</c:v>
                </c:pt>
                <c:pt idx="3">
                  <c:v>TXN_2026_000002</c:v>
                </c:pt>
                <c:pt idx="4">
                  <c:v>TXN_2026_000003</c:v>
                </c:pt>
                <c:pt idx="5">
                  <c:v>TXN_2026_000003</c:v>
                </c:pt>
                <c:pt idx="6">
                  <c:v>TXN_2026_000004</c:v>
                </c:pt>
                <c:pt idx="7">
                  <c:v>TXN_2026_000004</c:v>
                </c:pt>
                <c:pt idx="8">
                  <c:v>TXN_2026_000005</c:v>
                </c:pt>
                <c:pt idx="9">
                  <c:v>TXN_2026_000005</c:v>
                </c:pt>
                <c:pt idx="10">
                  <c:v>TXN_2026_000006</c:v>
                </c:pt>
                <c:pt idx="11">
                  <c:v>TXN_2026_000006</c:v>
                </c:pt>
                <c:pt idx="12">
                  <c:v>TXN_2026_000007</c:v>
                </c:pt>
                <c:pt idx="13">
                  <c:v>TXN_2026_000007</c:v>
                </c:pt>
                <c:pt idx="14">
                  <c:v>TXN_2026_000008</c:v>
                </c:pt>
              </c:strCache>
            </c:strRef>
          </c:cat>
          <c:val>
            <c:numRef>
              <c:f>Transactions!$H$2:$H$16</c:f>
              <c:numCache>
                <c:formatCode>General</c:formatCode>
                <c:ptCount val="15"/>
                <c:pt idx="0">
                  <c:v>11.35</c:v>
                </c:pt>
                <c:pt idx="1">
                  <c:v>11.35</c:v>
                </c:pt>
                <c:pt idx="2">
                  <c:v>11.62</c:v>
                </c:pt>
                <c:pt idx="3">
                  <c:v>11.62</c:v>
                </c:pt>
                <c:pt idx="4">
                  <c:v>23.53</c:v>
                </c:pt>
                <c:pt idx="5">
                  <c:v>23.53</c:v>
                </c:pt>
                <c:pt idx="6">
                  <c:v>21.82</c:v>
                </c:pt>
                <c:pt idx="7">
                  <c:v>21.82</c:v>
                </c:pt>
                <c:pt idx="8">
                  <c:v>29.28</c:v>
                </c:pt>
                <c:pt idx="9">
                  <c:v>29.28</c:v>
                </c:pt>
                <c:pt idx="10">
                  <c:v>31.26</c:v>
                </c:pt>
                <c:pt idx="11">
                  <c:v>31.26</c:v>
                </c:pt>
                <c:pt idx="12">
                  <c:v>27.64</c:v>
                </c:pt>
                <c:pt idx="13">
                  <c:v>27.64</c:v>
                </c:pt>
                <c:pt idx="14">
                  <c:v>50.41</c:v>
                </c:pt>
              </c:numCache>
            </c:numRef>
          </c:val>
        </c:ser>
        <c:ser>
          <c:idx val="2"/>
          <c:order val="2"/>
          <c:tx>
            <c:strRef>
              <c:f>Transactions!I1</c:f>
              <c:strCache>
                <c:ptCount val="1"/>
                <c:pt idx="0">
                  <c:v>Expected Net Amount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Transactions!$A$2:$A$16</c:f>
              <c:strCache>
                <c:ptCount val="15"/>
                <c:pt idx="0">
                  <c:v>TXN_2026_000001</c:v>
                </c:pt>
                <c:pt idx="1">
                  <c:v>TXN_2026_000001</c:v>
                </c:pt>
                <c:pt idx="2">
                  <c:v>TXN_2026_000002</c:v>
                </c:pt>
                <c:pt idx="3">
                  <c:v>TXN_2026_000002</c:v>
                </c:pt>
                <c:pt idx="4">
                  <c:v>TXN_2026_000003</c:v>
                </c:pt>
                <c:pt idx="5">
                  <c:v>TXN_2026_000003</c:v>
                </c:pt>
                <c:pt idx="6">
                  <c:v>TXN_2026_000004</c:v>
                </c:pt>
                <c:pt idx="7">
                  <c:v>TXN_2026_000004</c:v>
                </c:pt>
                <c:pt idx="8">
                  <c:v>TXN_2026_000005</c:v>
                </c:pt>
                <c:pt idx="9">
                  <c:v>TXN_2026_000005</c:v>
                </c:pt>
                <c:pt idx="10">
                  <c:v>TXN_2026_000006</c:v>
                </c:pt>
                <c:pt idx="11">
                  <c:v>TXN_2026_000006</c:v>
                </c:pt>
                <c:pt idx="12">
                  <c:v>TXN_2026_000007</c:v>
                </c:pt>
                <c:pt idx="13">
                  <c:v>TXN_2026_000007</c:v>
                </c:pt>
                <c:pt idx="14">
                  <c:v>TXN_2026_000008</c:v>
                </c:pt>
              </c:strCache>
            </c:strRef>
          </c:cat>
          <c:val>
            <c:numRef>
              <c:f>Transactions!$I$2:$I$16</c:f>
              <c:numCache>
                <c:formatCode>General</c:formatCode>
                <c:ptCount val="15"/>
                <c:pt idx="0">
                  <c:v>411.94</c:v>
                </c:pt>
                <c:pt idx="1">
                  <c:v>411.94</c:v>
                </c:pt>
                <c:pt idx="2">
                  <c:v>584.96</c:v>
                </c:pt>
                <c:pt idx="3">
                  <c:v>584.96</c:v>
                </c:pt>
                <c:pt idx="4">
                  <c:v>746.34</c:v>
                </c:pt>
                <c:pt idx="5">
                  <c:v>746.34</c:v>
                </c:pt>
                <c:pt idx="6">
                  <c:v>920.34</c:v>
                </c:pt>
                <c:pt idx="7">
                  <c:v>920.34</c:v>
                </c:pt>
                <c:pt idx="8">
                  <c:v>1086.17</c:v>
                </c:pt>
                <c:pt idx="9">
                  <c:v>1086.17</c:v>
                </c:pt>
                <c:pt idx="10">
                  <c:v>1257.48</c:v>
                </c:pt>
                <c:pt idx="11">
                  <c:v>1257.48</c:v>
                </c:pt>
                <c:pt idx="12">
                  <c:v>1433.39</c:v>
                </c:pt>
                <c:pt idx="13">
                  <c:v>1433.39</c:v>
                </c:pt>
                <c:pt idx="14">
                  <c:v>1583.91</c:v>
                </c:pt>
              </c:numCache>
            </c:numRef>
          </c:val>
        </c:ser>
        <c:gapWidth val="150"/>
        <c:overlap val="0"/>
        <c:axId val="35902532"/>
        <c:axId val="57820559"/>
      </c:barChart>
      <c:catAx>
        <c:axId val="35902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20559"/>
        <c:crosses val="autoZero"/>
        <c:auto val="1"/>
        <c:lblAlgn val="ctr"/>
        <c:lblOffset val="100"/>
        <c:noMultiLvlLbl val="0"/>
      </c:catAx>
      <c:valAx>
        <c:axId val="57820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025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Settlement Gross vs Net Payouts (First 15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Settlements!G1</c:f>
              <c:strCache>
                <c:ptCount val="1"/>
                <c:pt idx="0">
                  <c:v>Gross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Settlements!$A$2:$A$16</c:f>
              <c:strCache>
                <c:ptCount val="15"/>
                <c:pt idx="0">
                  <c:v>STL_2026_000001</c:v>
                </c:pt>
                <c:pt idx="1">
                  <c:v>STL_2026_000001</c:v>
                </c:pt>
                <c:pt idx="2">
                  <c:v>STL_2026_000002</c:v>
                </c:pt>
                <c:pt idx="3">
                  <c:v>STL_2026_000002</c:v>
                </c:pt>
                <c:pt idx="4">
                  <c:v>STL_2026_000003</c:v>
                </c:pt>
                <c:pt idx="5">
                  <c:v>STL_2026_000003</c:v>
                </c:pt>
                <c:pt idx="6">
                  <c:v>STL_2026_000004</c:v>
                </c:pt>
                <c:pt idx="7">
                  <c:v>STL_2026_000004</c:v>
                </c:pt>
                <c:pt idx="8">
                  <c:v>STL_2026_000005</c:v>
                </c:pt>
                <c:pt idx="9">
                  <c:v>STL_2026_000005</c:v>
                </c:pt>
                <c:pt idx="10">
                  <c:v>STL_2026_000006</c:v>
                </c:pt>
                <c:pt idx="11">
                  <c:v>STL_2026_000006</c:v>
                </c:pt>
                <c:pt idx="12">
                  <c:v>STL_2026_000007</c:v>
                </c:pt>
                <c:pt idx="13">
                  <c:v>STL_2026_000007</c:v>
                </c:pt>
                <c:pt idx="14">
                  <c:v>STL_2026_000008</c:v>
                </c:pt>
              </c:strCache>
            </c:strRef>
          </c:cat>
          <c:val>
            <c:numRef>
              <c:f>Settlements!$G$2:$G$16</c:f>
              <c:numCache>
                <c:formatCode>General</c:formatCode>
                <c:ptCount val="15"/>
                <c:pt idx="0">
                  <c:v>423.29</c:v>
                </c:pt>
                <c:pt idx="1">
                  <c:v>423.29</c:v>
                </c:pt>
                <c:pt idx="2">
                  <c:v>596.58</c:v>
                </c:pt>
                <c:pt idx="3">
                  <c:v>596.58</c:v>
                </c:pt>
                <c:pt idx="4">
                  <c:v>769.87</c:v>
                </c:pt>
                <c:pt idx="5">
                  <c:v>769.87</c:v>
                </c:pt>
                <c:pt idx="6">
                  <c:v>942.16</c:v>
                </c:pt>
                <c:pt idx="7">
                  <c:v>942.16</c:v>
                </c:pt>
                <c:pt idx="8">
                  <c:v>1115.45</c:v>
                </c:pt>
                <c:pt idx="9">
                  <c:v>1115.45</c:v>
                </c:pt>
                <c:pt idx="10">
                  <c:v>1288.74</c:v>
                </c:pt>
                <c:pt idx="11">
                  <c:v>1288.74</c:v>
                </c:pt>
                <c:pt idx="12">
                  <c:v>1461.03</c:v>
                </c:pt>
                <c:pt idx="13">
                  <c:v>1461.03</c:v>
                </c:pt>
                <c:pt idx="14">
                  <c:v>1634.32</c:v>
                </c:pt>
              </c:numCache>
            </c:numRef>
          </c:val>
        </c:ser>
        <c:ser>
          <c:idx val="1"/>
          <c:order val="1"/>
          <c:tx>
            <c:strRef>
              <c:f>Settlements!H1</c:f>
              <c:strCache>
                <c:ptCount val="1"/>
                <c:pt idx="0">
                  <c:v>Fee Amount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Settlements!$A$2:$A$16</c:f>
              <c:strCache>
                <c:ptCount val="15"/>
                <c:pt idx="0">
                  <c:v>STL_2026_000001</c:v>
                </c:pt>
                <c:pt idx="1">
                  <c:v>STL_2026_000001</c:v>
                </c:pt>
                <c:pt idx="2">
                  <c:v>STL_2026_000002</c:v>
                </c:pt>
                <c:pt idx="3">
                  <c:v>STL_2026_000002</c:v>
                </c:pt>
                <c:pt idx="4">
                  <c:v>STL_2026_000003</c:v>
                </c:pt>
                <c:pt idx="5">
                  <c:v>STL_2026_000003</c:v>
                </c:pt>
                <c:pt idx="6">
                  <c:v>STL_2026_000004</c:v>
                </c:pt>
                <c:pt idx="7">
                  <c:v>STL_2026_000004</c:v>
                </c:pt>
                <c:pt idx="8">
                  <c:v>STL_2026_000005</c:v>
                </c:pt>
                <c:pt idx="9">
                  <c:v>STL_2026_000005</c:v>
                </c:pt>
                <c:pt idx="10">
                  <c:v>STL_2026_000006</c:v>
                </c:pt>
                <c:pt idx="11">
                  <c:v>STL_2026_000006</c:v>
                </c:pt>
                <c:pt idx="12">
                  <c:v>STL_2026_000007</c:v>
                </c:pt>
                <c:pt idx="13">
                  <c:v>STL_2026_000007</c:v>
                </c:pt>
                <c:pt idx="14">
                  <c:v>STL_2026_000008</c:v>
                </c:pt>
              </c:strCache>
            </c:strRef>
          </c:cat>
          <c:val>
            <c:numRef>
              <c:f>Settlements!$H$2:$H$16</c:f>
              <c:numCache>
                <c:formatCode>General</c:formatCode>
                <c:ptCount val="15"/>
                <c:pt idx="0">
                  <c:v>11.35</c:v>
                </c:pt>
                <c:pt idx="1">
                  <c:v>11.35</c:v>
                </c:pt>
                <c:pt idx="2">
                  <c:v>11.62</c:v>
                </c:pt>
                <c:pt idx="3">
                  <c:v>11.62</c:v>
                </c:pt>
                <c:pt idx="4">
                  <c:v>23.53</c:v>
                </c:pt>
                <c:pt idx="5">
                  <c:v>23.53</c:v>
                </c:pt>
                <c:pt idx="6">
                  <c:v>21.82</c:v>
                </c:pt>
                <c:pt idx="7">
                  <c:v>21.82</c:v>
                </c:pt>
                <c:pt idx="8">
                  <c:v>29.28</c:v>
                </c:pt>
                <c:pt idx="9">
                  <c:v>29.28</c:v>
                </c:pt>
                <c:pt idx="10">
                  <c:v>31.26</c:v>
                </c:pt>
                <c:pt idx="11">
                  <c:v>31.26</c:v>
                </c:pt>
                <c:pt idx="12">
                  <c:v>27.64</c:v>
                </c:pt>
                <c:pt idx="13">
                  <c:v>27.64</c:v>
                </c:pt>
                <c:pt idx="14">
                  <c:v>50.41</c:v>
                </c:pt>
              </c:numCache>
            </c:numRef>
          </c:val>
        </c:ser>
        <c:ser>
          <c:idx val="2"/>
          <c:order val="2"/>
          <c:tx>
            <c:strRef>
              <c:f>Settlements!I1</c:f>
              <c:strCache>
                <c:ptCount val="1"/>
                <c:pt idx="0">
                  <c:v>Net Settlement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Settlements!$A$2:$A$16</c:f>
              <c:strCache>
                <c:ptCount val="15"/>
                <c:pt idx="0">
                  <c:v>STL_2026_000001</c:v>
                </c:pt>
                <c:pt idx="1">
                  <c:v>STL_2026_000001</c:v>
                </c:pt>
                <c:pt idx="2">
                  <c:v>STL_2026_000002</c:v>
                </c:pt>
                <c:pt idx="3">
                  <c:v>STL_2026_000002</c:v>
                </c:pt>
                <c:pt idx="4">
                  <c:v>STL_2026_000003</c:v>
                </c:pt>
                <c:pt idx="5">
                  <c:v>STL_2026_000003</c:v>
                </c:pt>
                <c:pt idx="6">
                  <c:v>STL_2026_000004</c:v>
                </c:pt>
                <c:pt idx="7">
                  <c:v>STL_2026_000004</c:v>
                </c:pt>
                <c:pt idx="8">
                  <c:v>STL_2026_000005</c:v>
                </c:pt>
                <c:pt idx="9">
                  <c:v>STL_2026_000005</c:v>
                </c:pt>
                <c:pt idx="10">
                  <c:v>STL_2026_000006</c:v>
                </c:pt>
                <c:pt idx="11">
                  <c:v>STL_2026_000006</c:v>
                </c:pt>
                <c:pt idx="12">
                  <c:v>STL_2026_000007</c:v>
                </c:pt>
                <c:pt idx="13">
                  <c:v>STL_2026_000007</c:v>
                </c:pt>
                <c:pt idx="14">
                  <c:v>STL_2026_000008</c:v>
                </c:pt>
              </c:strCache>
            </c:strRef>
          </c:cat>
          <c:val>
            <c:numRef>
              <c:f>Settlements!$I$2:$I$16</c:f>
              <c:numCache>
                <c:formatCode>General</c:formatCode>
                <c:ptCount val="15"/>
                <c:pt idx="0">
                  <c:v>411.94</c:v>
                </c:pt>
                <c:pt idx="1">
                  <c:v>411.94</c:v>
                </c:pt>
                <c:pt idx="2">
                  <c:v>584.96</c:v>
                </c:pt>
                <c:pt idx="3">
                  <c:v>584.96</c:v>
                </c:pt>
                <c:pt idx="4">
                  <c:v>746.34</c:v>
                </c:pt>
                <c:pt idx="5">
                  <c:v>746.34</c:v>
                </c:pt>
                <c:pt idx="6">
                  <c:v>920.34</c:v>
                </c:pt>
                <c:pt idx="7">
                  <c:v>920.34</c:v>
                </c:pt>
                <c:pt idx="8">
                  <c:v>1086.17</c:v>
                </c:pt>
                <c:pt idx="9">
                  <c:v>1086.17</c:v>
                </c:pt>
                <c:pt idx="10">
                  <c:v>1257.48</c:v>
                </c:pt>
                <c:pt idx="11">
                  <c:v>1257.48</c:v>
                </c:pt>
                <c:pt idx="12">
                  <c:v>1433.39</c:v>
                </c:pt>
                <c:pt idx="13">
                  <c:v>1433.39</c:v>
                </c:pt>
                <c:pt idx="14">
                  <c:v>1583.91</c:v>
                </c:pt>
              </c:numCache>
            </c:numRef>
          </c:val>
        </c:ser>
        <c:gapWidth val="150"/>
        <c:overlap val="0"/>
        <c:axId val="54665751"/>
        <c:axId val="3030738"/>
      </c:barChart>
      <c:catAx>
        <c:axId val="54665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0738"/>
        <c:crosses val="autoZero"/>
        <c:auto val="1"/>
        <c:lblAlgn val="ctr"/>
        <c:lblOffset val="100"/>
        <c:noMultiLvlLbl val="0"/>
      </c:catAx>
      <c:valAx>
        <c:axId val="3030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65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Bank Credits vs Signed Bank Movements (First 15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Bank_Entries!G1</c:f>
              <c:strCache>
                <c:ptCount val="1"/>
                <c:pt idx="0">
                  <c:v>Credit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Bank_Entries!$A$2:$A$16</c:f>
              <c:strCache>
                <c:ptCount val="15"/>
                <c:pt idx="0">
                  <c:v>BNK_2026_000001</c:v>
                </c:pt>
                <c:pt idx="1">
                  <c:v>BNK_2026_000002</c:v>
                </c:pt>
                <c:pt idx="2">
                  <c:v>BNK_2026_000003</c:v>
                </c:pt>
                <c:pt idx="3">
                  <c:v>BNK_2026_000004</c:v>
                </c:pt>
                <c:pt idx="4">
                  <c:v>BNK_2026_000005</c:v>
                </c:pt>
                <c:pt idx="5">
                  <c:v>BNK_2026_000006</c:v>
                </c:pt>
                <c:pt idx="6">
                  <c:v>BNK_2026_000007</c:v>
                </c:pt>
                <c:pt idx="7">
                  <c:v>BNK_2026_000008</c:v>
                </c:pt>
                <c:pt idx="8">
                  <c:v>BNK_2026_000009</c:v>
                </c:pt>
                <c:pt idx="9">
                  <c:v>BNK_2026_000010</c:v>
                </c:pt>
                <c:pt idx="10">
                  <c:v>BNK_2026_000011</c:v>
                </c:pt>
                <c:pt idx="11">
                  <c:v>BNK_2026_000012</c:v>
                </c:pt>
                <c:pt idx="12">
                  <c:v>BNK_2026_000013</c:v>
                </c:pt>
                <c:pt idx="13">
                  <c:v>BNK_2026_000014</c:v>
                </c:pt>
                <c:pt idx="14">
                  <c:v>BNK_2026_000015</c:v>
                </c:pt>
              </c:strCache>
            </c:strRef>
          </c:cat>
          <c:val>
            <c:numRef>
              <c:f>Bank_Entries!$G$2:$G$16</c:f>
              <c:numCache>
                <c:formatCode>General</c:formatCode>
                <c:ptCount val="15"/>
                <c:pt idx="0">
                  <c:v>411.94</c:v>
                </c:pt>
                <c:pt idx="1">
                  <c:v>584.96</c:v>
                </c:pt>
                <c:pt idx="2">
                  <c:v>746.34</c:v>
                </c:pt>
                <c:pt idx="3">
                  <c:v>920.34</c:v>
                </c:pt>
                <c:pt idx="4">
                  <c:v>1086.17</c:v>
                </c:pt>
                <c:pt idx="5">
                  <c:v>1257.48</c:v>
                </c:pt>
                <c:pt idx="6">
                  <c:v>1433.39</c:v>
                </c:pt>
                <c:pt idx="7">
                  <c:v>1583.91</c:v>
                </c:pt>
                <c:pt idx="8">
                  <c:v>1777.64</c:v>
                </c:pt>
                <c:pt idx="9">
                  <c:v>1929.45</c:v>
                </c:pt>
                <c:pt idx="10">
                  <c:v>2103.83</c:v>
                </c:pt>
                <c:pt idx="11">
                  <c:v>2280.79</c:v>
                </c:pt>
                <c:pt idx="12">
                  <c:v>2439.29</c:v>
                </c:pt>
                <c:pt idx="13">
                  <c:v>2622</c:v>
                </c:pt>
                <c:pt idx="14">
                  <c:v>2757.88</c:v>
                </c:pt>
              </c:numCache>
            </c:numRef>
          </c:val>
        </c:ser>
        <c:ser>
          <c:idx val="1"/>
          <c:order val="1"/>
          <c:tx>
            <c:strRef>
              <c:f>Bank_Entries!H1</c:f>
              <c:strCache>
                <c:ptCount val="1"/>
                <c:pt idx="0">
                  <c:v>Debit Amount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Bank_Entries!$A$2:$A$16</c:f>
              <c:strCache>
                <c:ptCount val="15"/>
                <c:pt idx="0">
                  <c:v>BNK_2026_000001</c:v>
                </c:pt>
                <c:pt idx="1">
                  <c:v>BNK_2026_000002</c:v>
                </c:pt>
                <c:pt idx="2">
                  <c:v>BNK_2026_000003</c:v>
                </c:pt>
                <c:pt idx="3">
                  <c:v>BNK_2026_000004</c:v>
                </c:pt>
                <c:pt idx="4">
                  <c:v>BNK_2026_000005</c:v>
                </c:pt>
                <c:pt idx="5">
                  <c:v>BNK_2026_000006</c:v>
                </c:pt>
                <c:pt idx="6">
                  <c:v>BNK_2026_000007</c:v>
                </c:pt>
                <c:pt idx="7">
                  <c:v>BNK_2026_000008</c:v>
                </c:pt>
                <c:pt idx="8">
                  <c:v>BNK_2026_000009</c:v>
                </c:pt>
                <c:pt idx="9">
                  <c:v>BNK_2026_000010</c:v>
                </c:pt>
                <c:pt idx="10">
                  <c:v>BNK_2026_000011</c:v>
                </c:pt>
                <c:pt idx="11">
                  <c:v>BNK_2026_000012</c:v>
                </c:pt>
                <c:pt idx="12">
                  <c:v>BNK_2026_000013</c:v>
                </c:pt>
                <c:pt idx="13">
                  <c:v>BNK_2026_000014</c:v>
                </c:pt>
                <c:pt idx="14">
                  <c:v>BNK_2026_000015</c:v>
                </c:pt>
              </c:strCache>
            </c:strRef>
          </c:cat>
          <c:val>
            <c:numRef>
              <c:f>Bank_Entries!$H$2:$H$16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Bank_Entries!I1</c:f>
              <c:strCache>
                <c:ptCount val="1"/>
                <c:pt idx="0">
                  <c:v>Signed Bank Amount [Auto]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Bank_Entries!$A$2:$A$16</c:f>
              <c:strCache>
                <c:ptCount val="15"/>
                <c:pt idx="0">
                  <c:v>BNK_2026_000001</c:v>
                </c:pt>
                <c:pt idx="1">
                  <c:v>BNK_2026_000002</c:v>
                </c:pt>
                <c:pt idx="2">
                  <c:v>BNK_2026_000003</c:v>
                </c:pt>
                <c:pt idx="3">
                  <c:v>BNK_2026_000004</c:v>
                </c:pt>
                <c:pt idx="4">
                  <c:v>BNK_2026_000005</c:v>
                </c:pt>
                <c:pt idx="5">
                  <c:v>BNK_2026_000006</c:v>
                </c:pt>
                <c:pt idx="6">
                  <c:v>BNK_2026_000007</c:v>
                </c:pt>
                <c:pt idx="7">
                  <c:v>BNK_2026_000008</c:v>
                </c:pt>
                <c:pt idx="8">
                  <c:v>BNK_2026_000009</c:v>
                </c:pt>
                <c:pt idx="9">
                  <c:v>BNK_2026_000010</c:v>
                </c:pt>
                <c:pt idx="10">
                  <c:v>BNK_2026_000011</c:v>
                </c:pt>
                <c:pt idx="11">
                  <c:v>BNK_2026_000012</c:v>
                </c:pt>
                <c:pt idx="12">
                  <c:v>BNK_2026_000013</c:v>
                </c:pt>
                <c:pt idx="13">
                  <c:v>BNK_2026_000014</c:v>
                </c:pt>
                <c:pt idx="14">
                  <c:v>BNK_2026_000015</c:v>
                </c:pt>
              </c:strCache>
            </c:strRef>
          </c:cat>
          <c:val>
            <c:numRef>
              <c:f>Bank_Entries!$I$2:$I$16</c:f>
              <c:numCache>
                <c:formatCode>General</c:formatCode>
                <c:ptCount val="15"/>
                <c:pt idx="0">
                  <c:v>411.94</c:v>
                </c:pt>
                <c:pt idx="1">
                  <c:v>584.96</c:v>
                </c:pt>
                <c:pt idx="2">
                  <c:v>746.34</c:v>
                </c:pt>
                <c:pt idx="3">
                  <c:v>920.34</c:v>
                </c:pt>
                <c:pt idx="4">
                  <c:v>1086.17</c:v>
                </c:pt>
                <c:pt idx="5">
                  <c:v>1257.48</c:v>
                </c:pt>
                <c:pt idx="6">
                  <c:v>1433.39</c:v>
                </c:pt>
                <c:pt idx="7">
                  <c:v>1583.91</c:v>
                </c:pt>
                <c:pt idx="8">
                  <c:v>1777.64</c:v>
                </c:pt>
                <c:pt idx="9">
                  <c:v>1929.45</c:v>
                </c:pt>
                <c:pt idx="10">
                  <c:v>2103.83</c:v>
                </c:pt>
                <c:pt idx="11">
                  <c:v>2280.79</c:v>
                </c:pt>
                <c:pt idx="12">
                  <c:v>2439.29</c:v>
                </c:pt>
                <c:pt idx="13">
                  <c:v>2622</c:v>
                </c:pt>
                <c:pt idx="14">
                  <c:v>2757.88</c:v>
                </c:pt>
              </c:numCache>
            </c:numRef>
          </c:val>
        </c:ser>
        <c:gapWidth val="150"/>
        <c:overlap val="0"/>
        <c:axId val="45925029"/>
        <c:axId val="646449"/>
      </c:barChart>
      <c:catAx>
        <c:axId val="45925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449"/>
        <c:crosses val="autoZero"/>
        <c:auto val="1"/>
        <c:lblAlgn val="ctr"/>
        <c:lblOffset val="100"/>
        <c:noMultiLvlLbl val="0"/>
      </c:catAx>
      <c:valAx>
        <c:axId val="646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25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Requested Refund vs Settled Deduction (First 15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Refunds!G1</c:f>
              <c:strCache>
                <c:ptCount val="1"/>
                <c:pt idx="0">
                  <c:v>Requested Refund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Refunds!$A$2:$A$16</c:f>
              <c:strCache>
                <c:ptCount val="15"/>
                <c:pt idx="0">
                  <c:v>REF_2026_00001</c:v>
                </c:pt>
                <c:pt idx="1">
                  <c:v>REF_2026_00002</c:v>
                </c:pt>
                <c:pt idx="2">
                  <c:v>REF_2026_00003</c:v>
                </c:pt>
                <c:pt idx="3">
                  <c:v>REF_2026_00004</c:v>
                </c:pt>
                <c:pt idx="4">
                  <c:v>REF_2026_00005</c:v>
                </c:pt>
                <c:pt idx="5">
                  <c:v>REF_2026_00006</c:v>
                </c:pt>
                <c:pt idx="6">
                  <c:v>REF_2026_00007</c:v>
                </c:pt>
                <c:pt idx="7">
                  <c:v>REF_2026_00008</c:v>
                </c:pt>
                <c:pt idx="8">
                  <c:v>REF_2026_00009</c:v>
                </c:pt>
                <c:pt idx="9">
                  <c:v>REF_2026_00010</c:v>
                </c:pt>
                <c:pt idx="10">
                  <c:v>REF_2026_00011</c:v>
                </c:pt>
                <c:pt idx="11">
                  <c:v>REF_2026_00012</c:v>
                </c:pt>
                <c:pt idx="12">
                  <c:v>REF_2026_00013</c:v>
                </c:pt>
                <c:pt idx="13">
                  <c:v>REF_2026_00014</c:v>
                </c:pt>
                <c:pt idx="14">
                  <c:v>REF_2026_00015</c:v>
                </c:pt>
              </c:strCache>
            </c:strRef>
          </c:cat>
          <c:val>
            <c:numRef>
              <c:f>Refunds!$G$2:$G$16</c:f>
              <c:numCache>
                <c:formatCode>General</c:formatCode>
                <c:ptCount val="15"/>
                <c:pt idx="0">
                  <c:v>2426.47</c:v>
                </c:pt>
                <c:pt idx="1">
                  <c:v>2478.46</c:v>
                </c:pt>
                <c:pt idx="2">
                  <c:v>2530.45</c:v>
                </c:pt>
                <c:pt idx="3">
                  <c:v>2582.13</c:v>
                </c:pt>
                <c:pt idx="4">
                  <c:v>2634.12</c:v>
                </c:pt>
                <c:pt idx="5">
                  <c:v>2686.11</c:v>
                </c:pt>
                <c:pt idx="6">
                  <c:v>2738.09</c:v>
                </c:pt>
                <c:pt idx="7">
                  <c:v>2789.78</c:v>
                </c:pt>
                <c:pt idx="8">
                  <c:v>2841.77</c:v>
                </c:pt>
                <c:pt idx="9">
                  <c:v>2893.76</c:v>
                </c:pt>
                <c:pt idx="10">
                  <c:v>2945.44</c:v>
                </c:pt>
                <c:pt idx="11">
                  <c:v>2997.43</c:v>
                </c:pt>
                <c:pt idx="12">
                  <c:v>3049.42</c:v>
                </c:pt>
                <c:pt idx="13">
                  <c:v>3101.1</c:v>
                </c:pt>
                <c:pt idx="14">
                  <c:v>3153.09</c:v>
                </c:pt>
              </c:numCache>
            </c:numRef>
          </c:val>
        </c:ser>
        <c:ser>
          <c:idx val="1"/>
          <c:order val="1"/>
          <c:tx>
            <c:strRef>
              <c:f>Refunds!H1</c:f>
              <c:strCache>
                <c:ptCount val="1"/>
                <c:pt idx="0">
                  <c:v>Settled Deduction (INR)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Refunds!$A$2:$A$16</c:f>
              <c:strCache>
                <c:ptCount val="15"/>
                <c:pt idx="0">
                  <c:v>REF_2026_00001</c:v>
                </c:pt>
                <c:pt idx="1">
                  <c:v>REF_2026_00002</c:v>
                </c:pt>
                <c:pt idx="2">
                  <c:v>REF_2026_00003</c:v>
                </c:pt>
                <c:pt idx="3">
                  <c:v>REF_2026_00004</c:v>
                </c:pt>
                <c:pt idx="4">
                  <c:v>REF_2026_00005</c:v>
                </c:pt>
                <c:pt idx="5">
                  <c:v>REF_2026_00006</c:v>
                </c:pt>
                <c:pt idx="6">
                  <c:v>REF_2026_00007</c:v>
                </c:pt>
                <c:pt idx="7">
                  <c:v>REF_2026_00008</c:v>
                </c:pt>
                <c:pt idx="8">
                  <c:v>REF_2026_00009</c:v>
                </c:pt>
                <c:pt idx="9">
                  <c:v>REF_2026_00010</c:v>
                </c:pt>
                <c:pt idx="10">
                  <c:v>REF_2026_00011</c:v>
                </c:pt>
                <c:pt idx="11">
                  <c:v>REF_2026_00012</c:v>
                </c:pt>
                <c:pt idx="12">
                  <c:v>REF_2026_00013</c:v>
                </c:pt>
                <c:pt idx="13">
                  <c:v>REF_2026_00014</c:v>
                </c:pt>
                <c:pt idx="14">
                  <c:v>REF_2026_00015</c:v>
                </c:pt>
              </c:strCache>
            </c:strRef>
          </c:cat>
          <c:val>
            <c:numRef>
              <c:f>Refunds!$H$2:$H$16</c:f>
              <c:numCache>
                <c:formatCode>General</c:formatCode>
                <c:ptCount val="15"/>
                <c:pt idx="0">
                  <c:v>3639.71</c:v>
                </c:pt>
                <c:pt idx="1">
                  <c:v>3717.69</c:v>
                </c:pt>
                <c:pt idx="2">
                  <c:v>3795.67</c:v>
                </c:pt>
                <c:pt idx="3">
                  <c:v>3873.2</c:v>
                </c:pt>
                <c:pt idx="4">
                  <c:v>3951.18</c:v>
                </c:pt>
                <c:pt idx="5">
                  <c:v>4029.16</c:v>
                </c:pt>
                <c:pt idx="6">
                  <c:v>4107.14</c:v>
                </c:pt>
                <c:pt idx="7">
                  <c:v>4184.67</c:v>
                </c:pt>
                <c:pt idx="8">
                  <c:v>4262.65</c:v>
                </c:pt>
                <c:pt idx="9">
                  <c:v>4340.63</c:v>
                </c:pt>
                <c:pt idx="10">
                  <c:v>4418.16</c:v>
                </c:pt>
                <c:pt idx="11">
                  <c:v>4496.14</c:v>
                </c:pt>
                <c:pt idx="12">
                  <c:v>4574.12</c:v>
                </c:pt>
                <c:pt idx="13">
                  <c:v>4651.65</c:v>
                </c:pt>
                <c:pt idx="14">
                  <c:v>4729.64</c:v>
                </c:pt>
              </c:numCache>
            </c:numRef>
          </c:val>
        </c:ser>
        <c:gapWidth val="150"/>
        <c:overlap val="0"/>
        <c:axId val="11831071"/>
        <c:axId val="74974412"/>
      </c:barChart>
      <c:catAx>
        <c:axId val="118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74412"/>
        <c:crosses val="autoZero"/>
        <c:auto val="1"/>
        <c:lblAlgn val="ctr"/>
        <c:lblOffset val="100"/>
        <c:noMultiLvlLbl val="0"/>
      </c:catAx>
      <c:valAx>
        <c:axId val="74974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31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Unresolved Discrepancy Exposure by Merchant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Merchants!J1</c:f>
              <c:strCache>
                <c:ptCount val="1"/>
                <c:pt idx="0">
                  <c:v>Unresolved Exposure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Merchants!$A$2:$A$26</c:f>
              <c:strCache>
                <c:ptCount val="25"/>
                <c:pt idx="0">
                  <c:v>MERCH_1001</c:v>
                </c:pt>
                <c:pt idx="1">
                  <c:v>MERCH_1002</c:v>
                </c:pt>
                <c:pt idx="2">
                  <c:v>MERCH_1003</c:v>
                </c:pt>
                <c:pt idx="3">
                  <c:v>MERCH_1004</c:v>
                </c:pt>
                <c:pt idx="4">
                  <c:v>MERCH_1005</c:v>
                </c:pt>
                <c:pt idx="5">
                  <c:v>MERCH_1006</c:v>
                </c:pt>
                <c:pt idx="6">
                  <c:v>MERCH_1007</c:v>
                </c:pt>
                <c:pt idx="7">
                  <c:v>MERCH_1008</c:v>
                </c:pt>
                <c:pt idx="8">
                  <c:v>MERCH_1009</c:v>
                </c:pt>
                <c:pt idx="9">
                  <c:v>MERCH_1010</c:v>
                </c:pt>
                <c:pt idx="10">
                  <c:v>MERCH_1011</c:v>
                </c:pt>
                <c:pt idx="11">
                  <c:v>MERCH_1012</c:v>
                </c:pt>
                <c:pt idx="12">
                  <c:v>MERCH_1013</c:v>
                </c:pt>
                <c:pt idx="13">
                  <c:v>MERCH_1014</c:v>
                </c:pt>
                <c:pt idx="14">
                  <c:v>MERCH_1015</c:v>
                </c:pt>
                <c:pt idx="15">
                  <c:v>MERCH_1016</c:v>
                </c:pt>
                <c:pt idx="16">
                  <c:v>MERCH_1017</c:v>
                </c:pt>
                <c:pt idx="17">
                  <c:v>MERCH_1018</c:v>
                </c:pt>
                <c:pt idx="18">
                  <c:v>MERCH_1019</c:v>
                </c:pt>
                <c:pt idx="19">
                  <c:v>MERCH_1020</c:v>
                </c:pt>
                <c:pt idx="20">
                  <c:v>MERCH_1021</c:v>
                </c:pt>
                <c:pt idx="21">
                  <c:v>MERCH_1022</c:v>
                </c:pt>
                <c:pt idx="22">
                  <c:v>MERCH_1023</c:v>
                </c:pt>
                <c:pt idx="23">
                  <c:v>MERCH_1024</c:v>
                </c:pt>
                <c:pt idx="24">
                  <c:v>MERCH_1025</c:v>
                </c:pt>
              </c:strCache>
            </c:strRef>
          </c:cat>
          <c:val>
            <c:numRef>
              <c:f>Merchants!$J$2:$J$26</c:f>
              <c:numCache>
                <c:formatCode>General</c:formatCode>
                <c:ptCount val="25"/>
                <c:pt idx="0">
                  <c:v>138536.21</c:v>
                </c:pt>
                <c:pt idx="1">
                  <c:v>142028.29</c:v>
                </c:pt>
                <c:pt idx="2">
                  <c:v>143508.73</c:v>
                </c:pt>
                <c:pt idx="3">
                  <c:v>147110.18</c:v>
                </c:pt>
                <c:pt idx="4">
                  <c:v>149499.29</c:v>
                </c:pt>
                <c:pt idx="5">
                  <c:v>147603.62</c:v>
                </c:pt>
                <c:pt idx="6">
                  <c:v>151303.73</c:v>
                </c:pt>
                <c:pt idx="7">
                  <c:v>152670.74</c:v>
                </c:pt>
                <c:pt idx="8">
                  <c:v>157605.14</c:v>
                </c:pt>
                <c:pt idx="9">
                  <c:v>159211.95</c:v>
                </c:pt>
                <c:pt idx="10">
                  <c:v>139106.67</c:v>
                </c:pt>
                <c:pt idx="11">
                  <c:v>142250.42</c:v>
                </c:pt>
                <c:pt idx="12">
                  <c:v>144379.81</c:v>
                </c:pt>
                <c:pt idx="13">
                  <c:v>147810.42</c:v>
                </c:pt>
                <c:pt idx="14">
                  <c:v>148865.99</c:v>
                </c:pt>
                <c:pt idx="15">
                  <c:v>144100.86</c:v>
                </c:pt>
                <c:pt idx="16">
                  <c:v>141036.06</c:v>
                </c:pt>
                <c:pt idx="17">
                  <c:v>143098.54</c:v>
                </c:pt>
                <c:pt idx="18">
                  <c:v>146627.9</c:v>
                </c:pt>
                <c:pt idx="19">
                  <c:v>131331.72</c:v>
                </c:pt>
                <c:pt idx="20">
                  <c:v>146142.81</c:v>
                </c:pt>
                <c:pt idx="21">
                  <c:v>148401.9</c:v>
                </c:pt>
                <c:pt idx="22">
                  <c:v>152166.47</c:v>
                </c:pt>
                <c:pt idx="23">
                  <c:v>153768.43</c:v>
                </c:pt>
                <c:pt idx="24">
                  <c:v>140005.91</c:v>
                </c:pt>
              </c:numCache>
            </c:numRef>
          </c:val>
        </c:ser>
        <c:gapWidth val="150"/>
        <c:overlap val="0"/>
        <c:axId val="43803504"/>
        <c:axId val="51787056"/>
      </c:barChart>
      <c:catAx>
        <c:axId val="4380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87056"/>
        <c:crosses val="autoZero"/>
        <c:auto val="1"/>
        <c:lblAlgn val="ctr"/>
        <c:lblOffset val="100"/>
        <c:noMultiLvlLbl val="0"/>
      </c:catAx>
      <c:valAx>
        <c:axId val="51787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03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Raw vs Validated Row Counts Across Source Datasets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Data_Quality!B1</c:f>
              <c:strCache>
                <c:ptCount val="1"/>
                <c:pt idx="0">
                  <c:v>Raw Ingested Rows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Data_Quality!$A$2:$A$6</c:f>
              <c:strCache>
                <c:ptCount val="5"/>
                <c:pt idx="0">
                  <c:v>TRANSACTIONS</c:v>
                </c:pt>
                <c:pt idx="1">
                  <c:v>SETTLEMENTS</c:v>
                </c:pt>
                <c:pt idx="2">
                  <c:v>BANK_ENTRIES</c:v>
                </c:pt>
                <c:pt idx="3">
                  <c:v>REFUNDS</c:v>
                </c:pt>
                <c:pt idx="4">
                  <c:v>MERCHANTS</c:v>
                </c:pt>
              </c:strCache>
            </c:strRef>
          </c:cat>
          <c:val>
            <c:numRef>
              <c:f>Data_Quality!$B$2:$B$6</c:f>
              <c:numCache>
                <c:formatCode>General</c:formatCode>
                <c:ptCount val="5"/>
                <c:pt idx="0">
                  <c:v>9955</c:v>
                </c:pt>
                <c:pt idx="1">
                  <c:v>10090</c:v>
                </c:pt>
                <c:pt idx="2">
                  <c:v>10070</c:v>
                </c:pt>
                <c:pt idx="3">
                  <c:v>250</c:v>
                </c:pt>
                <c:pt idx="4">
                  <c:v>25</c:v>
                </c:pt>
              </c:numCache>
            </c:numRef>
          </c:val>
        </c:ser>
        <c:ser>
          <c:idx val="1"/>
          <c:order val="1"/>
          <c:tx>
            <c:strRef>
              <c:f>Data_Quality!C1</c:f>
              <c:strCache>
                <c:ptCount val="1"/>
                <c:pt idx="0">
                  <c:v>Validated Rows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Data_Quality!$A$2:$A$6</c:f>
              <c:strCache>
                <c:ptCount val="5"/>
                <c:pt idx="0">
                  <c:v>TRANSACTIONS</c:v>
                </c:pt>
                <c:pt idx="1">
                  <c:v>SETTLEMENTS</c:v>
                </c:pt>
                <c:pt idx="2">
                  <c:v>BANK_ENTRIES</c:v>
                </c:pt>
                <c:pt idx="3">
                  <c:v>REFUNDS</c:v>
                </c:pt>
                <c:pt idx="4">
                  <c:v>MERCHANTS</c:v>
                </c:pt>
              </c:strCache>
            </c:strRef>
          </c:cat>
          <c:val>
            <c:numRef>
              <c:f>Data_Quality!$C$2:$C$6</c:f>
              <c:numCache>
                <c:formatCode>General</c:formatCode>
                <c:ptCount val="5"/>
                <c:pt idx="0">
                  <c:v>9885</c:v>
                </c:pt>
                <c:pt idx="1">
                  <c:v>10065</c:v>
                </c:pt>
                <c:pt idx="2">
                  <c:v>10070</c:v>
                </c:pt>
                <c:pt idx="3">
                  <c:v>250</c:v>
                </c:pt>
                <c:pt idx="4">
                  <c:v>25</c:v>
                </c:pt>
              </c:numCache>
            </c:numRef>
          </c:val>
        </c:ser>
        <c:gapWidth val="150"/>
        <c:overlap val="0"/>
        <c:axId val="88140698"/>
        <c:axId val="94872191"/>
      </c:barChart>
      <c:catAx>
        <c:axId val="88140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72191"/>
        <c:crosses val="autoZero"/>
        <c:auto val="1"/>
        <c:lblAlgn val="ctr"/>
        <c:lblOffset val="100"/>
        <c:noMultiLvlLbl val="0"/>
      </c:catAx>
      <c:valAx>
        <c:axId val="94872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0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Expected vs Observed Net Amounts (First 15 Exceptions)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Reconciliation!G1</c:f>
              <c:strCache>
                <c:ptCount val="1"/>
                <c:pt idx="0">
                  <c:v>Expected Net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Reconciliation!$A$2:$A$16</c:f>
              <c:strCache>
                <c:ptCount val="15"/>
                <c:pt idx="0">
                  <c:v>TXN_2026_009201</c:v>
                </c:pt>
                <c:pt idx="1">
                  <c:v>TXN_2026_009202</c:v>
                </c:pt>
                <c:pt idx="2">
                  <c:v>TXN_2026_009203</c:v>
                </c:pt>
                <c:pt idx="3">
                  <c:v>TXN_2026_009204</c:v>
                </c:pt>
                <c:pt idx="4">
                  <c:v>TXN_2026_009205</c:v>
                </c:pt>
                <c:pt idx="5">
                  <c:v>TXN_2026_009206</c:v>
                </c:pt>
                <c:pt idx="6">
                  <c:v>TXN_2026_009207</c:v>
                </c:pt>
                <c:pt idx="7">
                  <c:v>TXN_2026_009208</c:v>
                </c:pt>
                <c:pt idx="8">
                  <c:v>TXN_2026_009209</c:v>
                </c:pt>
                <c:pt idx="9">
                  <c:v>TXN_2026_009210</c:v>
                </c:pt>
                <c:pt idx="10">
                  <c:v>TXN_2026_009211</c:v>
                </c:pt>
                <c:pt idx="11">
                  <c:v>TXN_2026_009212</c:v>
                </c:pt>
                <c:pt idx="12">
                  <c:v>TXN_2026_009213</c:v>
                </c:pt>
                <c:pt idx="13">
                  <c:v>TXN_2026_009214</c:v>
                </c:pt>
                <c:pt idx="14">
                  <c:v>TXN_2026_009215</c:v>
                </c:pt>
              </c:strCache>
            </c:strRef>
          </c:cat>
          <c:val>
            <c:numRef>
              <c:f>Reconciliation!$G$2:$G$16</c:f>
              <c:numCache>
                <c:formatCode>General</c:formatCode>
                <c:ptCount val="15"/>
                <c:pt idx="0">
                  <c:v>4180.16</c:v>
                </c:pt>
                <c:pt idx="1">
                  <c:v>4371.35</c:v>
                </c:pt>
                <c:pt idx="2">
                  <c:v>4496.39</c:v>
                </c:pt>
                <c:pt idx="3">
                  <c:v>4690.85</c:v>
                </c:pt>
                <c:pt idx="4">
                  <c:v>4845.31</c:v>
                </c:pt>
                <c:pt idx="5">
                  <c:v>5021.16</c:v>
                </c:pt>
                <c:pt idx="6">
                  <c:v>5215.25</c:v>
                </c:pt>
                <c:pt idx="7">
                  <c:v>5324.88</c:v>
                </c:pt>
                <c:pt idx="8">
                  <c:v>5566.3</c:v>
                </c:pt>
                <c:pt idx="9">
                  <c:v>5684.05</c:v>
                </c:pt>
                <c:pt idx="10">
                  <c:v>5869.78</c:v>
                </c:pt>
                <c:pt idx="11">
                  <c:v>6058.1</c:v>
                </c:pt>
                <c:pt idx="12">
                  <c:v>6200.71</c:v>
                </c:pt>
                <c:pt idx="13">
                  <c:v>6401.59</c:v>
                </c:pt>
                <c:pt idx="14">
                  <c:v>6494.3</c:v>
                </c:pt>
              </c:numCache>
            </c:numRef>
          </c:val>
        </c:ser>
        <c:ser>
          <c:idx val="1"/>
          <c:order val="1"/>
          <c:tx>
            <c:strRef>
              <c:f>Reconciliation!H1</c:f>
              <c:strCache>
                <c:ptCount val="1"/>
                <c:pt idx="0">
                  <c:v>Observed Net (INR)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Reconciliation!$A$2:$A$16</c:f>
              <c:strCache>
                <c:ptCount val="15"/>
                <c:pt idx="0">
                  <c:v>TXN_2026_009201</c:v>
                </c:pt>
                <c:pt idx="1">
                  <c:v>TXN_2026_009202</c:v>
                </c:pt>
                <c:pt idx="2">
                  <c:v>TXN_2026_009203</c:v>
                </c:pt>
                <c:pt idx="3">
                  <c:v>TXN_2026_009204</c:v>
                </c:pt>
                <c:pt idx="4">
                  <c:v>TXN_2026_009205</c:v>
                </c:pt>
                <c:pt idx="5">
                  <c:v>TXN_2026_009206</c:v>
                </c:pt>
                <c:pt idx="6">
                  <c:v>TXN_2026_009207</c:v>
                </c:pt>
                <c:pt idx="7">
                  <c:v>TXN_2026_009208</c:v>
                </c:pt>
                <c:pt idx="8">
                  <c:v>TXN_2026_009209</c:v>
                </c:pt>
                <c:pt idx="9">
                  <c:v>TXN_2026_009210</c:v>
                </c:pt>
                <c:pt idx="10">
                  <c:v>TXN_2026_009211</c:v>
                </c:pt>
                <c:pt idx="11">
                  <c:v>TXN_2026_009212</c:v>
                </c:pt>
                <c:pt idx="12">
                  <c:v>TXN_2026_009213</c:v>
                </c:pt>
                <c:pt idx="13">
                  <c:v>TXN_2026_009214</c:v>
                </c:pt>
                <c:pt idx="14">
                  <c:v>TXN_2026_009215</c:v>
                </c:pt>
              </c:strCache>
            </c:strRef>
          </c:cat>
          <c:val>
            <c:numRef>
              <c:f>Reconciliation!$H$2:$H$16</c:f>
              <c:numCache>
                <c:formatCode>General</c:formatCode>
                <c:ptCount val="15"/>
                <c:pt idx="0">
                  <c:v>4180.16</c:v>
                </c:pt>
                <c:pt idx="1">
                  <c:v>4371.35</c:v>
                </c:pt>
                <c:pt idx="2">
                  <c:v>4496.39</c:v>
                </c:pt>
                <c:pt idx="3">
                  <c:v>4690.85</c:v>
                </c:pt>
                <c:pt idx="4">
                  <c:v>4845.31</c:v>
                </c:pt>
                <c:pt idx="5">
                  <c:v>5021.16</c:v>
                </c:pt>
                <c:pt idx="6">
                  <c:v>5215.25</c:v>
                </c:pt>
                <c:pt idx="7">
                  <c:v>5324.88</c:v>
                </c:pt>
                <c:pt idx="8">
                  <c:v>5566.3</c:v>
                </c:pt>
                <c:pt idx="9">
                  <c:v>5684.05</c:v>
                </c:pt>
                <c:pt idx="10">
                  <c:v>5869.78</c:v>
                </c:pt>
                <c:pt idx="11">
                  <c:v>6058.1</c:v>
                </c:pt>
                <c:pt idx="12">
                  <c:v>6200.71</c:v>
                </c:pt>
                <c:pt idx="13">
                  <c:v>6401.59</c:v>
                </c:pt>
                <c:pt idx="14">
                  <c:v>6494.3</c:v>
                </c:pt>
              </c:numCache>
            </c:numRef>
          </c:val>
        </c:ser>
        <c:gapWidth val="150"/>
        <c:overlap val="0"/>
        <c:axId val="51652086"/>
        <c:axId val="8651119"/>
      </c:barChart>
      <c:catAx>
        <c:axId val="51652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1119"/>
        <c:crosses val="autoZero"/>
        <c:auto val="1"/>
        <c:lblAlgn val="ctr"/>
        <c:lblOffset val="100"/>
        <c:noMultiLvlLbl val="0"/>
      </c:catAx>
      <c:valAx>
        <c:axId val="8651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2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Record Count by Reconciliation &amp; Exception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Summary!$A$2:$A$23</c:f>
              <c:strCache>
                <c:ptCount val="22"/>
                <c:pt idx="0">
                  <c:v>MATCHED_EXACT</c:v>
                </c:pt>
                <c:pt idx="1">
                  <c:v>MATCHED_WITH_VARIANCE</c:v>
                </c:pt>
                <c:pt idx="2">
                  <c:v>MATCHED_FEE_ADJUSTED</c:v>
                </c:pt>
                <c:pt idx="3">
                  <c:v>MATCHED_PARTIAL</c:v>
                </c:pt>
                <c:pt idx="4">
                  <c:v>MISSING_SETTLEMENT</c:v>
                </c:pt>
                <c:pt idx="5">
                  <c:v>MISSING_LEDGER</c:v>
                </c:pt>
                <c:pt idx="6">
                  <c:v>DUPLICATE_CONFIRMED</c:v>
                </c:pt>
                <c:pt idx="7">
                  <c:v>PARTIALLY_SETTLED</c:v>
                </c:pt>
                <c:pt idx="8">
                  <c:v>AMBIGUOUS_MATCH</c:v>
                </c:pt>
                <c:pt idx="9">
                  <c:v>MISSING_BANK_ENTRY</c:v>
                </c:pt>
                <c:pt idx="10">
                  <c:v>MALFORMED_AMOUNT</c:v>
                </c:pt>
                <c:pt idx="11">
                  <c:v>INVALID_CURRENCY</c:v>
                </c:pt>
                <c:pt idx="12">
                  <c:v>MISSING_MANDATORY_FIELD</c:v>
                </c:pt>
                <c:pt idx="13">
                  <c:v>MISSING_DATE</c:v>
                </c:pt>
                <c:pt idx="14">
                  <c:v>INVALID_IDENTIFIER</c:v>
                </c:pt>
                <c:pt idx="15">
                  <c:v>UNREVERSED_REFUND</c:v>
                </c:pt>
                <c:pt idx="16">
                  <c:v>REFUND_MISMATCH</c:v>
                </c:pt>
                <c:pt idx="17">
                  <c:v>MISSING_REFUND_EVIDENCE</c:v>
                </c:pt>
                <c:pt idx="18">
                  <c:v>DUPLICATE_CANDIDATE</c:v>
                </c:pt>
                <c:pt idx="19">
                  <c:v>MANUAL_REVIEW</c:v>
                </c:pt>
                <c:pt idx="20">
                  <c:v>LATE_SETTLEMENT</c:v>
                </c:pt>
                <c:pt idx="21">
                  <c:v>TIMING_EXCEPTION</c:v>
                </c:pt>
              </c:strCache>
            </c:strRef>
          </c:cat>
          <c:val>
            <c:numRef>
              <c:f>Summary!$C$2:$C$23</c:f>
              <c:numCache>
                <c:formatCode>General</c:formatCode>
                <c:ptCount val="22"/>
                <c:pt idx="0">
                  <c:v>8440</c:v>
                </c:pt>
                <c:pt idx="1">
                  <c:v>360</c:v>
                </c:pt>
                <c:pt idx="2">
                  <c:v>250</c:v>
                </c:pt>
                <c:pt idx="3">
                  <c:v>150</c:v>
                </c:pt>
                <c:pt idx="4">
                  <c:v>140</c:v>
                </c:pt>
                <c:pt idx="5">
                  <c:v>70</c:v>
                </c:pt>
                <c:pt idx="6">
                  <c:v>100</c:v>
                </c:pt>
                <c:pt idx="7">
                  <c:v>60</c:v>
                </c:pt>
                <c:pt idx="8">
                  <c:v>35</c:v>
                </c:pt>
                <c:pt idx="9">
                  <c:v>30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7</c:v>
                </c:pt>
                <c:pt idx="14">
                  <c:v>10</c:v>
                </c:pt>
                <c:pt idx="15">
                  <c:v>15</c:v>
                </c:pt>
                <c:pt idx="16">
                  <c:v>40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160</c:v>
                </c:pt>
                <c:pt idx="21">
                  <c:v>60</c:v>
                </c:pt>
              </c:numCache>
            </c:numRef>
          </c:val>
        </c:ser>
        <c:gapWidth val="150"/>
        <c:overlap val="0"/>
        <c:axId val="52865814"/>
        <c:axId val="12342162"/>
      </c:barChart>
      <c:catAx>
        <c:axId val="52865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42162"/>
        <c:crosses val="autoZero"/>
        <c:auto val="1"/>
        <c:lblAlgn val="ctr"/>
        <c:lblOffset val="100"/>
        <c:noMultiLvlLbl val="0"/>
      </c:catAx>
      <c:valAx>
        <c:axId val="12342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65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5</xdr:col>
      <xdr:colOff>10080</xdr:colOff>
      <xdr:row>40</xdr:row>
      <xdr:rowOff>170640</xdr:rowOff>
    </xdr:to>
    <xdr:graphicFrame>
      <xdr:nvGraphicFramePr>
        <xdr:cNvPr id="0" name="Chart 1"/>
        <xdr:cNvGraphicFramePr/>
      </xdr:nvGraphicFramePr>
      <xdr:xfrm>
        <a:off x="0" y="5248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204</xdr:row>
      <xdr:rowOff>0</xdr:rowOff>
    </xdr:from>
    <xdr:to>
      <xdr:col>5</xdr:col>
      <xdr:colOff>136080</xdr:colOff>
      <xdr:row>219</xdr:row>
      <xdr:rowOff>22320</xdr:rowOff>
    </xdr:to>
    <xdr:graphicFrame>
      <xdr:nvGraphicFramePr>
        <xdr:cNvPr id="1" name="Chart 1"/>
        <xdr:cNvGraphicFramePr/>
      </xdr:nvGraphicFramePr>
      <xdr:xfrm>
        <a:off x="0" y="48587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204</xdr:row>
      <xdr:rowOff>0</xdr:rowOff>
    </xdr:from>
    <xdr:to>
      <xdr:col>4</xdr:col>
      <xdr:colOff>1475280</xdr:colOff>
      <xdr:row>219</xdr:row>
      <xdr:rowOff>22320</xdr:rowOff>
    </xdr:to>
    <xdr:graphicFrame>
      <xdr:nvGraphicFramePr>
        <xdr:cNvPr id="2" name="Chart 1"/>
        <xdr:cNvGraphicFramePr/>
      </xdr:nvGraphicFramePr>
      <xdr:xfrm>
        <a:off x="0" y="48587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204</xdr:row>
      <xdr:rowOff>0</xdr:rowOff>
    </xdr:from>
    <xdr:to>
      <xdr:col>5</xdr:col>
      <xdr:colOff>206640</xdr:colOff>
      <xdr:row>219</xdr:row>
      <xdr:rowOff>22320</xdr:rowOff>
    </xdr:to>
    <xdr:graphicFrame>
      <xdr:nvGraphicFramePr>
        <xdr:cNvPr id="3" name="Chart 1"/>
        <xdr:cNvGraphicFramePr/>
      </xdr:nvGraphicFramePr>
      <xdr:xfrm>
        <a:off x="0" y="48587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204</xdr:row>
      <xdr:rowOff>0</xdr:rowOff>
    </xdr:from>
    <xdr:to>
      <xdr:col>4</xdr:col>
      <xdr:colOff>1686600</xdr:colOff>
      <xdr:row>219</xdr:row>
      <xdr:rowOff>22320</xdr:rowOff>
    </xdr:to>
    <xdr:graphicFrame>
      <xdr:nvGraphicFramePr>
        <xdr:cNvPr id="4" name="Chart 1"/>
        <xdr:cNvGraphicFramePr/>
      </xdr:nvGraphicFramePr>
      <xdr:xfrm>
        <a:off x="0" y="48587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4</xdr:col>
      <xdr:colOff>785520</xdr:colOff>
      <xdr:row>46</xdr:row>
      <xdr:rowOff>1080</xdr:rowOff>
    </xdr:to>
    <xdr:graphicFrame>
      <xdr:nvGraphicFramePr>
        <xdr:cNvPr id="5" name="Chart 1"/>
        <xdr:cNvGraphicFramePr/>
      </xdr:nvGraphicFramePr>
      <xdr:xfrm>
        <a:off x="0" y="69152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1193400</xdr:colOff>
      <xdr:row>26</xdr:row>
      <xdr:rowOff>1440</xdr:rowOff>
    </xdr:to>
    <xdr:graphicFrame>
      <xdr:nvGraphicFramePr>
        <xdr:cNvPr id="6" name="Chart 1"/>
        <xdr:cNvGraphicFramePr/>
      </xdr:nvGraphicFramePr>
      <xdr:xfrm>
        <a:off x="0" y="2152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154</xdr:row>
      <xdr:rowOff>0</xdr:rowOff>
    </xdr:from>
    <xdr:to>
      <xdr:col>5</xdr:col>
      <xdr:colOff>417960</xdr:colOff>
      <xdr:row>171</xdr:row>
      <xdr:rowOff>1080</xdr:rowOff>
    </xdr:to>
    <xdr:graphicFrame>
      <xdr:nvGraphicFramePr>
        <xdr:cNvPr id="7" name="Chart 1"/>
        <xdr:cNvGraphicFramePr/>
      </xdr:nvGraphicFramePr>
      <xdr:xfrm>
        <a:off x="0" y="36680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4</xdr:col>
      <xdr:colOff>206640</xdr:colOff>
      <xdr:row>43</xdr:row>
      <xdr:rowOff>1080</xdr:rowOff>
    </xdr:to>
    <xdr:graphicFrame>
      <xdr:nvGraphicFramePr>
        <xdr:cNvPr id="8" name="Chart 1"/>
        <xdr:cNvGraphicFramePr/>
      </xdr:nvGraphicFramePr>
      <xdr:xfrm>
        <a:off x="0" y="6200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3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customFormat="false" ht="18.75" hidden="false" customHeight="tru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n">
        <v>1</v>
      </c>
    </row>
    <row r="3" customFormat="false" ht="18.75" hidden="false" customHeight="true" outlineLevel="0" collapsed="false">
      <c r="A3" s="7" t="s">
        <v>11</v>
      </c>
      <c r="B3" s="7" t="s">
        <v>12</v>
      </c>
      <c r="C3" s="7" t="s">
        <v>13</v>
      </c>
      <c r="D3" s="7" t="s">
        <v>14</v>
      </c>
      <c r="E3" s="5" t="s">
        <v>10</v>
      </c>
      <c r="F3" s="8" t="n">
        <v>50</v>
      </c>
    </row>
    <row r="4" customFormat="false" ht="18.7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5" t="s">
        <v>19</v>
      </c>
      <c r="F4" s="6" t="n">
        <v>10000</v>
      </c>
    </row>
    <row r="5" customFormat="false" ht="18.75" hidden="false" customHeight="tru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5" t="s">
        <v>24</v>
      </c>
      <c r="F5" s="8" t="n">
        <v>360</v>
      </c>
    </row>
    <row r="6" customFormat="false" ht="18.75" hidden="false" customHeight="tru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5" t="s">
        <v>24</v>
      </c>
      <c r="F6" s="6" t="n">
        <v>2</v>
      </c>
    </row>
    <row r="7" customFormat="false" ht="18.75" hidden="false" customHeight="true" outlineLevel="0" collapsed="false">
      <c r="A7" s="7" t="s">
        <v>29</v>
      </c>
      <c r="B7" s="7" t="s">
        <v>30</v>
      </c>
      <c r="C7" s="7" t="s">
        <v>31</v>
      </c>
      <c r="D7" s="7" t="s">
        <v>32</v>
      </c>
      <c r="E7" s="5" t="s">
        <v>33</v>
      </c>
      <c r="F7" s="8" t="n">
        <v>8</v>
      </c>
    </row>
    <row r="8" customFormat="false" ht="18.75" hidden="false" customHeight="tru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5" t="s">
        <v>33</v>
      </c>
      <c r="F8" s="6" t="n">
        <v>30390</v>
      </c>
    </row>
    <row r="9" customFormat="false" ht="18.75" hidden="false" customHeight="true" outlineLevel="0" collapsed="false">
      <c r="A9" s="7" t="s">
        <v>38</v>
      </c>
      <c r="B9" s="7" t="s">
        <v>39</v>
      </c>
      <c r="C9" s="7" t="s">
        <v>40</v>
      </c>
      <c r="D9" s="7" t="s">
        <v>41</v>
      </c>
      <c r="E9" s="5" t="s">
        <v>33</v>
      </c>
      <c r="F9" s="8" t="n">
        <v>0</v>
      </c>
    </row>
    <row r="10" customFormat="false" ht="18.75" hidden="false" customHeight="true" outlineLevel="0" collapsed="false">
      <c r="A10" s="4" t="s">
        <v>42</v>
      </c>
      <c r="B10" s="4" t="s">
        <v>43</v>
      </c>
      <c r="C10" s="4" t="s">
        <v>44</v>
      </c>
      <c r="D10" s="4" t="s">
        <v>45</v>
      </c>
      <c r="E10" s="5" t="s">
        <v>19</v>
      </c>
      <c r="F10" s="6" t="n">
        <v>9200</v>
      </c>
    </row>
    <row r="11" customFormat="false" ht="18.75" hidden="false" customHeight="true" outlineLevel="0" collapsed="false">
      <c r="A11" s="7" t="s">
        <v>46</v>
      </c>
      <c r="B11" s="7" t="s">
        <v>47</v>
      </c>
      <c r="C11" s="7" t="s">
        <v>48</v>
      </c>
      <c r="D11" s="7" t="s">
        <v>49</v>
      </c>
      <c r="E11" s="9" t="s">
        <v>50</v>
      </c>
      <c r="F11" s="8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7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8" min="8" style="0" width="29"/>
    <col collapsed="false" customWidth="true" hidden="false" outlineLevel="0" max="9" min="9" style="0" width="25"/>
  </cols>
  <sheetData>
    <row r="1" customFormat="false" ht="24" hidden="false" customHeight="true" outlineLevel="0" collapsed="false">
      <c r="A1" s="1" t="s">
        <v>51</v>
      </c>
      <c r="B1" s="1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customFormat="false" ht="18.75" hidden="false" customHeight="true" outlineLevel="0" collapsed="false">
      <c r="A2" s="4" t="s">
        <v>60</v>
      </c>
      <c r="B2" s="4" t="s">
        <v>61</v>
      </c>
      <c r="C2" s="6" t="n">
        <v>140</v>
      </c>
      <c r="D2" s="6" t="n">
        <v>115</v>
      </c>
      <c r="E2" s="6" t="n">
        <v>25</v>
      </c>
      <c r="F2" s="10" t="n">
        <v>1266745.19</v>
      </c>
      <c r="G2" s="10" t="n">
        <v>0</v>
      </c>
      <c r="H2" s="10" t="n">
        <v>1073397.69</v>
      </c>
      <c r="I2" s="11" t="n">
        <f aca="false">H2/$H$20</f>
        <v>0.286047874566581</v>
      </c>
    </row>
    <row r="3" customFormat="false" ht="18.75" hidden="false" customHeight="true" outlineLevel="0" collapsed="false">
      <c r="A3" s="7" t="s">
        <v>62</v>
      </c>
      <c r="B3" s="7" t="s">
        <v>61</v>
      </c>
      <c r="C3" s="8" t="n">
        <v>70</v>
      </c>
      <c r="D3" s="8" t="n">
        <v>70</v>
      </c>
      <c r="E3" s="8" t="n">
        <v>0</v>
      </c>
      <c r="F3" s="12" t="n">
        <v>0</v>
      </c>
      <c r="G3" s="12" t="n">
        <v>764719.96</v>
      </c>
      <c r="H3" s="12" t="n">
        <v>764719.96</v>
      </c>
      <c r="I3" s="13" t="n">
        <f aca="false">H3/$H$20</f>
        <v>0.203788885735948</v>
      </c>
    </row>
    <row r="4" customFormat="false" ht="18.75" hidden="false" customHeight="true" outlineLevel="0" collapsed="false">
      <c r="A4" s="4" t="s">
        <v>63</v>
      </c>
      <c r="B4" s="4" t="s">
        <v>64</v>
      </c>
      <c r="C4" s="6" t="n">
        <v>100</v>
      </c>
      <c r="D4" s="6" t="n">
        <v>80</v>
      </c>
      <c r="E4" s="6" t="n">
        <v>20</v>
      </c>
      <c r="F4" s="10" t="n">
        <v>917182.4</v>
      </c>
      <c r="G4" s="10" t="n">
        <v>1834364.8</v>
      </c>
      <c r="H4" s="10" t="n">
        <v>672762.41</v>
      </c>
      <c r="I4" s="11" t="n">
        <f aca="false">H4/$H$20</f>
        <v>0.179283278939039</v>
      </c>
    </row>
    <row r="5" customFormat="false" ht="18.75" hidden="false" customHeight="true" outlineLevel="0" collapsed="false">
      <c r="A5" s="7" t="s">
        <v>65</v>
      </c>
      <c r="B5" s="7" t="s">
        <v>66</v>
      </c>
      <c r="C5" s="8" t="n">
        <v>60</v>
      </c>
      <c r="D5" s="8" t="n">
        <v>60</v>
      </c>
      <c r="E5" s="8" t="n">
        <v>0</v>
      </c>
      <c r="F5" s="12" t="n">
        <v>702066.04</v>
      </c>
      <c r="G5" s="12" t="n">
        <v>421239.62</v>
      </c>
      <c r="H5" s="12" t="n">
        <v>280826.42</v>
      </c>
      <c r="I5" s="13" t="n">
        <f aca="false">H5/$H$20</f>
        <v>0.0748369419009481</v>
      </c>
    </row>
    <row r="6" customFormat="false" ht="18.75" hidden="false" customHeight="true" outlineLevel="0" collapsed="false">
      <c r="A6" s="4" t="s">
        <v>67</v>
      </c>
      <c r="B6" s="4" t="s">
        <v>68</v>
      </c>
      <c r="C6" s="6" t="n">
        <v>35</v>
      </c>
      <c r="D6" s="6" t="n">
        <v>35</v>
      </c>
      <c r="E6" s="6" t="n">
        <v>0</v>
      </c>
      <c r="F6" s="10" t="n">
        <v>170213.58</v>
      </c>
      <c r="G6" s="10" t="n">
        <v>0</v>
      </c>
      <c r="H6" s="10" t="n">
        <v>170213.58</v>
      </c>
      <c r="I6" s="11" t="n">
        <f aca="false">H6/$H$20</f>
        <v>0.0453599194734326</v>
      </c>
    </row>
    <row r="7" customFormat="false" ht="18.75" hidden="false" customHeight="true" outlineLevel="0" collapsed="false">
      <c r="A7" s="7" t="s">
        <v>69</v>
      </c>
      <c r="B7" s="7" t="s">
        <v>61</v>
      </c>
      <c r="C7" s="8" t="n">
        <v>30</v>
      </c>
      <c r="D7" s="8" t="n">
        <v>30</v>
      </c>
      <c r="E7" s="8" t="n">
        <v>0</v>
      </c>
      <c r="F7" s="12" t="n">
        <v>138177.61</v>
      </c>
      <c r="G7" s="12" t="n">
        <v>0</v>
      </c>
      <c r="H7" s="12" t="n">
        <v>138177.61</v>
      </c>
      <c r="I7" s="13" t="n">
        <f aca="false">H7/$H$20</f>
        <v>0.0368227098133497</v>
      </c>
    </row>
    <row r="8" customFormat="false" ht="18.75" hidden="false" customHeight="true" outlineLevel="0" collapsed="false">
      <c r="A8" s="4" t="s">
        <v>70</v>
      </c>
      <c r="B8" s="4" t="s">
        <v>71</v>
      </c>
      <c r="C8" s="6" t="n">
        <v>10</v>
      </c>
      <c r="D8" s="6" t="n">
        <v>10</v>
      </c>
      <c r="E8" s="6" t="n">
        <v>0</v>
      </c>
      <c r="F8" s="10" t="n">
        <v>111271.96</v>
      </c>
      <c r="G8" s="10" t="n">
        <v>0</v>
      </c>
      <c r="H8" s="10" t="n">
        <v>111271.96</v>
      </c>
      <c r="I8" s="11" t="n">
        <f aca="false">H8/$H$20</f>
        <v>0.0296526701644547</v>
      </c>
    </row>
    <row r="9" customFormat="false" ht="18.75" hidden="false" customHeight="true" outlineLevel="0" collapsed="false">
      <c r="A9" s="7" t="s">
        <v>72</v>
      </c>
      <c r="B9" s="7" t="s">
        <v>71</v>
      </c>
      <c r="C9" s="8" t="n">
        <v>8</v>
      </c>
      <c r="D9" s="8" t="n">
        <v>8</v>
      </c>
      <c r="E9" s="8" t="n">
        <v>0</v>
      </c>
      <c r="F9" s="12" t="n">
        <v>110638.9</v>
      </c>
      <c r="G9" s="12" t="n">
        <v>0</v>
      </c>
      <c r="H9" s="12" t="n">
        <v>110638.9</v>
      </c>
      <c r="I9" s="13" t="n">
        <f aca="false">H9/$H$20</f>
        <v>0.0294839671113736</v>
      </c>
    </row>
    <row r="10" customFormat="false" ht="18.75" hidden="false" customHeight="true" outlineLevel="0" collapsed="false">
      <c r="A10" s="4" t="s">
        <v>73</v>
      </c>
      <c r="B10" s="4" t="s">
        <v>71</v>
      </c>
      <c r="C10" s="6" t="n">
        <v>10</v>
      </c>
      <c r="D10" s="6" t="n">
        <v>10</v>
      </c>
      <c r="E10" s="6" t="n">
        <v>0</v>
      </c>
      <c r="F10" s="10" t="n">
        <v>94338.84</v>
      </c>
      <c r="G10" s="10" t="n">
        <v>0</v>
      </c>
      <c r="H10" s="10" t="n">
        <v>94338.84</v>
      </c>
      <c r="I10" s="11" t="n">
        <f aca="false">H10/$H$20</f>
        <v>0.025140192607529</v>
      </c>
    </row>
    <row r="11" customFormat="false" ht="18.75" hidden="false" customHeight="true" outlineLevel="0" collapsed="false">
      <c r="A11" s="7" t="s">
        <v>74</v>
      </c>
      <c r="B11" s="7" t="s">
        <v>71</v>
      </c>
      <c r="C11" s="8" t="n">
        <v>7</v>
      </c>
      <c r="D11" s="8" t="n">
        <v>7</v>
      </c>
      <c r="E11" s="8" t="n">
        <v>0</v>
      </c>
      <c r="F11" s="12" t="n">
        <v>87951.19</v>
      </c>
      <c r="G11" s="12" t="n">
        <v>0</v>
      </c>
      <c r="H11" s="12" t="n">
        <v>87951.19</v>
      </c>
      <c r="I11" s="13" t="n">
        <f aca="false">H11/$H$20</f>
        <v>0.0234379589219178</v>
      </c>
    </row>
    <row r="12" customFormat="false" ht="18.75" hidden="false" customHeight="true" outlineLevel="0" collapsed="false">
      <c r="A12" s="4" t="s">
        <v>75</v>
      </c>
      <c r="B12" s="4" t="s">
        <v>71</v>
      </c>
      <c r="C12" s="6" t="n">
        <v>10</v>
      </c>
      <c r="D12" s="6" t="n">
        <v>10</v>
      </c>
      <c r="E12" s="6" t="n">
        <v>0</v>
      </c>
      <c r="F12" s="10" t="n">
        <v>77395.77</v>
      </c>
      <c r="G12" s="10" t="n">
        <v>0</v>
      </c>
      <c r="H12" s="10" t="n">
        <v>77395.77</v>
      </c>
      <c r="I12" s="11" t="n">
        <f aca="false">H12/$H$20</f>
        <v>0.0206250634924917</v>
      </c>
    </row>
    <row r="13" customFormat="false" ht="18.75" hidden="false" customHeight="true" outlineLevel="0" collapsed="false">
      <c r="A13" s="7" t="s">
        <v>76</v>
      </c>
      <c r="B13" s="7" t="s">
        <v>77</v>
      </c>
      <c r="C13" s="8" t="n">
        <v>15</v>
      </c>
      <c r="D13" s="8" t="n">
        <v>15</v>
      </c>
      <c r="E13" s="8" t="n">
        <v>0</v>
      </c>
      <c r="F13" s="12" t="n">
        <v>237944.01</v>
      </c>
      <c r="G13" s="12" t="n">
        <v>177120.98</v>
      </c>
      <c r="H13" s="12" t="n">
        <v>60823.03</v>
      </c>
      <c r="I13" s="13" t="n">
        <f aca="false">H13/$H$20</f>
        <v>0.0162086229719754</v>
      </c>
    </row>
    <row r="14" customFormat="false" ht="18.75" hidden="false" customHeight="true" outlineLevel="0" collapsed="false">
      <c r="A14" s="4" t="s">
        <v>78</v>
      </c>
      <c r="B14" s="4" t="s">
        <v>77</v>
      </c>
      <c r="C14" s="6" t="n">
        <v>40</v>
      </c>
      <c r="D14" s="6" t="n">
        <v>30</v>
      </c>
      <c r="E14" s="6" t="n">
        <v>10</v>
      </c>
      <c r="F14" s="10" t="n">
        <v>310799.2</v>
      </c>
      <c r="G14" s="10" t="n">
        <v>242027.24</v>
      </c>
      <c r="H14" s="10" t="n">
        <v>55471.4</v>
      </c>
      <c r="I14" s="11" t="n">
        <f aca="false">H14/$H$20</f>
        <v>0.014782476445643</v>
      </c>
    </row>
    <row r="15" customFormat="false" ht="18.75" hidden="false" customHeight="true" outlineLevel="0" collapsed="false">
      <c r="A15" s="7" t="s">
        <v>79</v>
      </c>
      <c r="B15" s="7" t="s">
        <v>77</v>
      </c>
      <c r="C15" s="8" t="n">
        <v>15</v>
      </c>
      <c r="D15" s="8" t="n">
        <v>15</v>
      </c>
      <c r="E15" s="8" t="n">
        <v>0</v>
      </c>
      <c r="F15" s="12" t="n">
        <v>85904.97</v>
      </c>
      <c r="G15" s="12" t="n">
        <v>115396.81</v>
      </c>
      <c r="H15" s="12" t="n">
        <v>29491.84</v>
      </c>
      <c r="I15" s="13" t="n">
        <f aca="false">H15/$H$20</f>
        <v>0.00785922890243751</v>
      </c>
    </row>
    <row r="16" customFormat="false" ht="18.75" hidden="false" customHeight="true" outlineLevel="0" collapsed="false">
      <c r="A16" s="4" t="s">
        <v>80</v>
      </c>
      <c r="B16" s="4" t="s">
        <v>64</v>
      </c>
      <c r="C16" s="6" t="n">
        <v>15</v>
      </c>
      <c r="D16" s="6" t="n">
        <v>15</v>
      </c>
      <c r="E16" s="6" t="n">
        <v>0</v>
      </c>
      <c r="F16" s="10" t="n">
        <v>46310.02</v>
      </c>
      <c r="G16" s="10" t="n">
        <v>69465.05</v>
      </c>
      <c r="H16" s="10" t="n">
        <v>23155.03</v>
      </c>
      <c r="I16" s="11" t="n">
        <f aca="false">H16/$H$20</f>
        <v>0.0061705434795797</v>
      </c>
    </row>
    <row r="17" customFormat="false" ht="18.75" hidden="false" customHeight="true" outlineLevel="0" collapsed="false">
      <c r="A17" s="7" t="s">
        <v>81</v>
      </c>
      <c r="B17" s="7" t="s">
        <v>64</v>
      </c>
      <c r="C17" s="8" t="n">
        <v>15</v>
      </c>
      <c r="D17" s="8" t="n">
        <v>15</v>
      </c>
      <c r="E17" s="8" t="n">
        <v>0</v>
      </c>
      <c r="F17" s="12" t="n">
        <v>84402.09</v>
      </c>
      <c r="G17" s="12" t="n">
        <v>82527.09</v>
      </c>
      <c r="H17" s="12" t="n">
        <v>1875</v>
      </c>
      <c r="I17" s="13" t="n">
        <f aca="false">H17/$H$20</f>
        <v>0.000499665473299406</v>
      </c>
    </row>
    <row r="18" customFormat="false" ht="18.75" hidden="false" customHeight="true" outlineLevel="0" collapsed="false">
      <c r="A18" s="4" t="s">
        <v>82</v>
      </c>
      <c r="B18" s="4" t="s">
        <v>83</v>
      </c>
      <c r="C18" s="6" t="n">
        <v>160</v>
      </c>
      <c r="D18" s="6" t="n">
        <v>120</v>
      </c>
      <c r="E18" s="6" t="n">
        <v>40</v>
      </c>
      <c r="F18" s="10" t="n">
        <v>1446272.07</v>
      </c>
      <c r="G18" s="10" t="n">
        <v>1446272.07</v>
      </c>
      <c r="H18" s="10" t="n">
        <v>0</v>
      </c>
      <c r="I18" s="11" t="n">
        <f aca="false">H18/$H$20</f>
        <v>0</v>
      </c>
    </row>
    <row r="19" customFormat="false" ht="18.75" hidden="false" customHeight="true" outlineLevel="0" collapsed="false">
      <c r="A19" s="7" t="s">
        <v>84</v>
      </c>
      <c r="B19" s="7" t="s">
        <v>83</v>
      </c>
      <c r="C19" s="8" t="n">
        <v>60</v>
      </c>
      <c r="D19" s="8" t="n">
        <v>60</v>
      </c>
      <c r="E19" s="8" t="n">
        <v>0</v>
      </c>
      <c r="F19" s="12" t="n">
        <v>532393.93</v>
      </c>
      <c r="G19" s="12" t="n">
        <v>532393.93</v>
      </c>
      <c r="H19" s="12" t="n">
        <v>0</v>
      </c>
      <c r="I19" s="13" t="n">
        <f aca="false">H19/$H$20</f>
        <v>0</v>
      </c>
    </row>
    <row r="20" customFormat="false" ht="21.75" hidden="false" customHeight="true" outlineLevel="0" collapsed="false">
      <c r="A20" s="14" t="s">
        <v>85</v>
      </c>
      <c r="B20" s="14" t="s">
        <v>86</v>
      </c>
      <c r="C20" s="15" t="n">
        <f aca="false">SUM(C2:C19)</f>
        <v>800</v>
      </c>
      <c r="D20" s="15" t="n">
        <f aca="false">SUM(D2:D19)</f>
        <v>705</v>
      </c>
      <c r="E20" s="15" t="n">
        <f aca="false">SUM(E2:E19)</f>
        <v>95</v>
      </c>
      <c r="F20" s="16" t="n">
        <f aca="false">SUM(F2:F19)</f>
        <v>6420007.77</v>
      </c>
      <c r="G20" s="16" t="n">
        <f aca="false">SUM(G2:G19)</f>
        <v>5685527.55</v>
      </c>
      <c r="H20" s="16" t="n">
        <f aca="false">SUM(H2:H19)</f>
        <v>3752510.63</v>
      </c>
      <c r="I20" s="17" t="n">
        <f aca="false">SUM(I2:I19)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5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23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2" t="s">
        <v>92</v>
      </c>
      <c r="G1" s="3" t="s">
        <v>93</v>
      </c>
      <c r="H1" s="3" t="s">
        <v>94</v>
      </c>
      <c r="I1" s="3" t="s">
        <v>95</v>
      </c>
      <c r="J1" s="3" t="s">
        <v>96</v>
      </c>
    </row>
    <row r="2" customFormat="false" ht="18.75" hidden="false" customHeight="true" outlineLevel="0" collapsed="false">
      <c r="A2" s="4" t="s">
        <v>97</v>
      </c>
      <c r="B2" s="4" t="s">
        <v>98</v>
      </c>
      <c r="C2" s="4" t="s">
        <v>99</v>
      </c>
      <c r="D2" s="4" t="s">
        <v>100</v>
      </c>
      <c r="E2" s="4" t="s">
        <v>101</v>
      </c>
      <c r="F2" s="18" t="s">
        <v>102</v>
      </c>
      <c r="G2" s="10" t="n">
        <v>423.29</v>
      </c>
      <c r="H2" s="10" t="n">
        <v>11.35</v>
      </c>
      <c r="I2" s="10" t="n">
        <v>411.94</v>
      </c>
      <c r="J2" s="10" t="n">
        <f aca="false">ROUND(G2-H2-I2, 2)</f>
        <v>0</v>
      </c>
    </row>
    <row r="3" customFormat="false" ht="18.75" hidden="false" customHeight="true" outlineLevel="0" collapsed="false">
      <c r="A3" s="7" t="s">
        <v>97</v>
      </c>
      <c r="B3" s="7" t="s">
        <v>98</v>
      </c>
      <c r="C3" s="7" t="s">
        <v>99</v>
      </c>
      <c r="D3" s="7" t="s">
        <v>100</v>
      </c>
      <c r="E3" s="7" t="s">
        <v>101</v>
      </c>
      <c r="F3" s="19" t="s">
        <v>102</v>
      </c>
      <c r="G3" s="12" t="n">
        <v>423.29</v>
      </c>
      <c r="H3" s="12" t="n">
        <v>11.35</v>
      </c>
      <c r="I3" s="12" t="n">
        <v>411.94</v>
      </c>
      <c r="J3" s="12" t="n">
        <f aca="false">ROUND(G3-H3-I3, 2)</f>
        <v>0</v>
      </c>
    </row>
    <row r="4" customFormat="false" ht="18.75" hidden="false" customHeight="true" outlineLevel="0" collapsed="false">
      <c r="A4" s="4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18" t="s">
        <v>102</v>
      </c>
      <c r="G4" s="10" t="n">
        <v>596.58</v>
      </c>
      <c r="H4" s="10" t="n">
        <v>11.62</v>
      </c>
      <c r="I4" s="10" t="n">
        <v>584.96</v>
      </c>
      <c r="J4" s="10" t="n">
        <f aca="false">ROUND(G4-H4-I4, 2)</f>
        <v>0</v>
      </c>
    </row>
    <row r="5" customFormat="false" ht="18.75" hidden="false" customHeight="true" outlineLevel="0" collapsed="false">
      <c r="A5" s="7" t="s">
        <v>103</v>
      </c>
      <c r="B5" s="7" t="s">
        <v>104</v>
      </c>
      <c r="C5" s="7" t="s">
        <v>105</v>
      </c>
      <c r="D5" s="7" t="s">
        <v>106</v>
      </c>
      <c r="E5" s="7" t="s">
        <v>107</v>
      </c>
      <c r="F5" s="19" t="s">
        <v>102</v>
      </c>
      <c r="G5" s="12" t="n">
        <v>596.58</v>
      </c>
      <c r="H5" s="12" t="n">
        <v>11.62</v>
      </c>
      <c r="I5" s="12" t="n">
        <v>584.96</v>
      </c>
      <c r="J5" s="12" t="n">
        <f aca="false">ROUND(G5-H5-I5, 2)</f>
        <v>0</v>
      </c>
    </row>
    <row r="6" customFormat="false" ht="18.75" hidden="false" customHeight="true" outlineLevel="0" collapsed="false">
      <c r="A6" s="4" t="s">
        <v>108</v>
      </c>
      <c r="B6" s="4" t="s">
        <v>109</v>
      </c>
      <c r="C6" s="4" t="s">
        <v>110</v>
      </c>
      <c r="D6" s="4" t="s">
        <v>111</v>
      </c>
      <c r="E6" s="4" t="s">
        <v>112</v>
      </c>
      <c r="F6" s="18" t="s">
        <v>102</v>
      </c>
      <c r="G6" s="10" t="n">
        <v>769.87</v>
      </c>
      <c r="H6" s="10" t="n">
        <v>23.53</v>
      </c>
      <c r="I6" s="10" t="n">
        <v>746.34</v>
      </c>
      <c r="J6" s="10" t="n">
        <f aca="false">ROUND(G6-H6-I6, 2)</f>
        <v>0</v>
      </c>
    </row>
    <row r="7" customFormat="false" ht="18.75" hidden="false" customHeight="true" outlineLevel="0" collapsed="false">
      <c r="A7" s="7" t="s">
        <v>108</v>
      </c>
      <c r="B7" s="7" t="s">
        <v>109</v>
      </c>
      <c r="C7" s="7" t="s">
        <v>110</v>
      </c>
      <c r="D7" s="7" t="s">
        <v>111</v>
      </c>
      <c r="E7" s="7" t="s">
        <v>112</v>
      </c>
      <c r="F7" s="19" t="s">
        <v>102</v>
      </c>
      <c r="G7" s="12" t="n">
        <v>769.87</v>
      </c>
      <c r="H7" s="12" t="n">
        <v>23.53</v>
      </c>
      <c r="I7" s="12" t="n">
        <v>746.34</v>
      </c>
      <c r="J7" s="12" t="n">
        <f aca="false">ROUND(G7-H7-I7, 2)</f>
        <v>0</v>
      </c>
    </row>
    <row r="8" customFormat="false" ht="18.75" hidden="false" customHeight="true" outlineLevel="0" collapsed="false">
      <c r="A8" s="4" t="s">
        <v>113</v>
      </c>
      <c r="B8" s="4" t="s">
        <v>114</v>
      </c>
      <c r="C8" s="4" t="s">
        <v>115</v>
      </c>
      <c r="D8" s="4" t="s">
        <v>116</v>
      </c>
      <c r="E8" s="4" t="s">
        <v>117</v>
      </c>
      <c r="F8" s="18" t="s">
        <v>102</v>
      </c>
      <c r="G8" s="10" t="n">
        <v>942.16</v>
      </c>
      <c r="H8" s="10" t="n">
        <v>21.82</v>
      </c>
      <c r="I8" s="10" t="n">
        <v>920.34</v>
      </c>
      <c r="J8" s="10" t="n">
        <f aca="false">ROUND(G8-H8-I8, 2)</f>
        <v>0</v>
      </c>
    </row>
    <row r="9" customFormat="false" ht="18.75" hidden="false" customHeight="true" outlineLevel="0" collapsed="false">
      <c r="A9" s="7" t="s">
        <v>113</v>
      </c>
      <c r="B9" s="7" t="s">
        <v>114</v>
      </c>
      <c r="C9" s="7" t="s">
        <v>115</v>
      </c>
      <c r="D9" s="7" t="s">
        <v>116</v>
      </c>
      <c r="E9" s="7" t="s">
        <v>117</v>
      </c>
      <c r="F9" s="19" t="s">
        <v>102</v>
      </c>
      <c r="G9" s="12" t="n">
        <v>942.16</v>
      </c>
      <c r="H9" s="12" t="n">
        <v>21.82</v>
      </c>
      <c r="I9" s="12" t="n">
        <v>920.34</v>
      </c>
      <c r="J9" s="12" t="n">
        <f aca="false">ROUND(G9-H9-I9, 2)</f>
        <v>0</v>
      </c>
    </row>
    <row r="10" customFormat="false" ht="18.75" hidden="false" customHeight="true" outlineLevel="0" collapsed="false">
      <c r="A10" s="4" t="s">
        <v>118</v>
      </c>
      <c r="B10" s="4" t="s">
        <v>119</v>
      </c>
      <c r="C10" s="4" t="s">
        <v>120</v>
      </c>
      <c r="D10" s="4" t="s">
        <v>121</v>
      </c>
      <c r="E10" s="4" t="s">
        <v>122</v>
      </c>
      <c r="F10" s="18" t="s">
        <v>102</v>
      </c>
      <c r="G10" s="10" t="n">
        <v>1115.45</v>
      </c>
      <c r="H10" s="10" t="n">
        <v>29.28</v>
      </c>
      <c r="I10" s="10" t="n">
        <v>1086.17</v>
      </c>
      <c r="J10" s="10" t="n">
        <f aca="false">ROUND(G10-H10-I10, 2)</f>
        <v>0</v>
      </c>
    </row>
    <row r="11" customFormat="false" ht="18.75" hidden="false" customHeight="true" outlineLevel="0" collapsed="false">
      <c r="A11" s="7" t="s">
        <v>118</v>
      </c>
      <c r="B11" s="7" t="s">
        <v>119</v>
      </c>
      <c r="C11" s="7" t="s">
        <v>120</v>
      </c>
      <c r="D11" s="7" t="s">
        <v>121</v>
      </c>
      <c r="E11" s="7" t="s">
        <v>122</v>
      </c>
      <c r="F11" s="19" t="s">
        <v>102</v>
      </c>
      <c r="G11" s="12" t="n">
        <v>1115.45</v>
      </c>
      <c r="H11" s="12" t="n">
        <v>29.28</v>
      </c>
      <c r="I11" s="12" t="n">
        <v>1086.17</v>
      </c>
      <c r="J11" s="12" t="n">
        <f aca="false">ROUND(G11-H11-I11, 2)</f>
        <v>0</v>
      </c>
    </row>
    <row r="12" customFormat="false" ht="18.75" hidden="false" customHeight="true" outlineLevel="0" collapsed="false">
      <c r="A12" s="4" t="s">
        <v>123</v>
      </c>
      <c r="B12" s="4" t="s">
        <v>124</v>
      </c>
      <c r="C12" s="4" t="s">
        <v>125</v>
      </c>
      <c r="D12" s="4" t="s">
        <v>126</v>
      </c>
      <c r="E12" s="4" t="s">
        <v>127</v>
      </c>
      <c r="F12" s="18" t="s">
        <v>102</v>
      </c>
      <c r="G12" s="10" t="n">
        <v>1288.74</v>
      </c>
      <c r="H12" s="10" t="n">
        <v>31.26</v>
      </c>
      <c r="I12" s="10" t="n">
        <v>1257.48</v>
      </c>
      <c r="J12" s="10" t="n">
        <f aca="false">ROUND(G12-H12-I12, 2)</f>
        <v>0</v>
      </c>
    </row>
    <row r="13" customFormat="false" ht="18.75" hidden="false" customHeight="true" outlineLevel="0" collapsed="false">
      <c r="A13" s="7" t="s">
        <v>123</v>
      </c>
      <c r="B13" s="7" t="s">
        <v>124</v>
      </c>
      <c r="C13" s="7" t="s">
        <v>125</v>
      </c>
      <c r="D13" s="7" t="s">
        <v>126</v>
      </c>
      <c r="E13" s="7" t="s">
        <v>127</v>
      </c>
      <c r="F13" s="19" t="s">
        <v>102</v>
      </c>
      <c r="G13" s="12" t="n">
        <v>1288.74</v>
      </c>
      <c r="H13" s="12" t="n">
        <v>31.26</v>
      </c>
      <c r="I13" s="12" t="n">
        <v>1257.48</v>
      </c>
      <c r="J13" s="12" t="n">
        <f aca="false">ROUND(G13-H13-I13, 2)</f>
        <v>0</v>
      </c>
    </row>
    <row r="14" customFormat="false" ht="18.75" hidden="false" customHeight="true" outlineLevel="0" collapsed="false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132</v>
      </c>
      <c r="F14" s="18" t="s">
        <v>102</v>
      </c>
      <c r="G14" s="10" t="n">
        <v>1461.03</v>
      </c>
      <c r="H14" s="10" t="n">
        <v>27.64</v>
      </c>
      <c r="I14" s="10" t="n">
        <v>1433.39</v>
      </c>
      <c r="J14" s="10" t="n">
        <f aca="false">ROUND(G14-H14-I14, 2)</f>
        <v>0</v>
      </c>
    </row>
    <row r="15" customFormat="false" ht="18.75" hidden="false" customHeight="true" outlineLevel="0" collapsed="false">
      <c r="A15" s="7" t="s">
        <v>128</v>
      </c>
      <c r="B15" s="7" t="s">
        <v>129</v>
      </c>
      <c r="C15" s="7" t="s">
        <v>130</v>
      </c>
      <c r="D15" s="7" t="s">
        <v>131</v>
      </c>
      <c r="E15" s="7" t="s">
        <v>132</v>
      </c>
      <c r="F15" s="19" t="s">
        <v>102</v>
      </c>
      <c r="G15" s="12" t="n">
        <v>1461.03</v>
      </c>
      <c r="H15" s="12" t="n">
        <v>27.64</v>
      </c>
      <c r="I15" s="12" t="n">
        <v>1433.39</v>
      </c>
      <c r="J15" s="12" t="n">
        <f aca="false">ROUND(G15-H15-I15, 2)</f>
        <v>0</v>
      </c>
    </row>
    <row r="16" customFormat="false" ht="18.75" hidden="false" customHeight="true" outlineLevel="0" collapsed="false">
      <c r="A16" s="4" t="s">
        <v>133</v>
      </c>
      <c r="B16" s="4" t="s">
        <v>134</v>
      </c>
      <c r="C16" s="4" t="s">
        <v>135</v>
      </c>
      <c r="D16" s="4" t="s">
        <v>136</v>
      </c>
      <c r="E16" s="4" t="s">
        <v>137</v>
      </c>
      <c r="F16" s="18" t="s">
        <v>102</v>
      </c>
      <c r="G16" s="10" t="n">
        <v>1634.32</v>
      </c>
      <c r="H16" s="10" t="n">
        <v>50.41</v>
      </c>
      <c r="I16" s="10" t="n">
        <v>1583.91</v>
      </c>
      <c r="J16" s="10" t="n">
        <f aca="false">ROUND(G16-H16-I16, 2)</f>
        <v>0</v>
      </c>
    </row>
    <row r="17" customFormat="false" ht="18.75" hidden="false" customHeight="true" outlineLevel="0" collapsed="false">
      <c r="A17" s="7" t="s">
        <v>133</v>
      </c>
      <c r="B17" s="7" t="s">
        <v>134</v>
      </c>
      <c r="C17" s="7" t="s">
        <v>135</v>
      </c>
      <c r="D17" s="7" t="s">
        <v>136</v>
      </c>
      <c r="E17" s="7" t="s">
        <v>137</v>
      </c>
      <c r="F17" s="19" t="s">
        <v>102</v>
      </c>
      <c r="G17" s="12" t="n">
        <v>1634.32</v>
      </c>
      <c r="H17" s="12" t="n">
        <v>50.41</v>
      </c>
      <c r="I17" s="12" t="n">
        <v>1583.91</v>
      </c>
      <c r="J17" s="12" t="n">
        <f aca="false">ROUND(G17-H17-I17, 2)</f>
        <v>0</v>
      </c>
    </row>
    <row r="18" customFormat="false" ht="18.75" hidden="false" customHeight="true" outlineLevel="0" collapsed="false">
      <c r="A18" s="4" t="s">
        <v>138</v>
      </c>
      <c r="B18" s="4" t="s">
        <v>139</v>
      </c>
      <c r="C18" s="4" t="s">
        <v>140</v>
      </c>
      <c r="D18" s="4" t="s">
        <v>141</v>
      </c>
      <c r="E18" s="4" t="s">
        <v>142</v>
      </c>
      <c r="F18" s="18" t="s">
        <v>102</v>
      </c>
      <c r="G18" s="10" t="n">
        <v>1807.61</v>
      </c>
      <c r="H18" s="10" t="n">
        <v>29.97</v>
      </c>
      <c r="I18" s="10" t="n">
        <v>1777.64</v>
      </c>
      <c r="J18" s="10" t="n">
        <f aca="false">ROUND(G18-H18-I18, 2)</f>
        <v>0</v>
      </c>
    </row>
    <row r="19" customFormat="false" ht="18.75" hidden="false" customHeight="true" outlineLevel="0" collapsed="false">
      <c r="A19" s="7" t="s">
        <v>138</v>
      </c>
      <c r="B19" s="7" t="s">
        <v>139</v>
      </c>
      <c r="C19" s="7" t="s">
        <v>140</v>
      </c>
      <c r="D19" s="7" t="s">
        <v>141</v>
      </c>
      <c r="E19" s="7" t="s">
        <v>142</v>
      </c>
      <c r="F19" s="19" t="s">
        <v>102</v>
      </c>
      <c r="G19" s="12" t="n">
        <v>1807.61</v>
      </c>
      <c r="H19" s="12" t="n">
        <v>29.97</v>
      </c>
      <c r="I19" s="12" t="n">
        <v>1777.64</v>
      </c>
      <c r="J19" s="12" t="n">
        <f aca="false">ROUND(G19-H19-I19, 2)</f>
        <v>0</v>
      </c>
    </row>
    <row r="20" customFormat="false" ht="18.75" hidden="false" customHeight="true" outlineLevel="0" collapsed="false">
      <c r="A20" s="4" t="s">
        <v>143</v>
      </c>
      <c r="B20" s="4" t="s">
        <v>144</v>
      </c>
      <c r="C20" s="4" t="s">
        <v>145</v>
      </c>
      <c r="D20" s="4" t="s">
        <v>146</v>
      </c>
      <c r="E20" s="4" t="s">
        <v>147</v>
      </c>
      <c r="F20" s="18" t="s">
        <v>102</v>
      </c>
      <c r="G20" s="10" t="n">
        <v>1980.9</v>
      </c>
      <c r="H20" s="10" t="n">
        <v>51.45</v>
      </c>
      <c r="I20" s="10" t="n">
        <v>1929.45</v>
      </c>
      <c r="J20" s="10" t="n">
        <f aca="false">ROUND(G20-H20-I20, 2)</f>
        <v>0</v>
      </c>
    </row>
    <row r="21" customFormat="false" ht="18.75" hidden="false" customHeight="true" outlineLevel="0" collapsed="false">
      <c r="A21" s="7" t="s">
        <v>143</v>
      </c>
      <c r="B21" s="7" t="s">
        <v>144</v>
      </c>
      <c r="C21" s="7" t="s">
        <v>145</v>
      </c>
      <c r="D21" s="7" t="s">
        <v>146</v>
      </c>
      <c r="E21" s="7" t="s">
        <v>147</v>
      </c>
      <c r="F21" s="19" t="s">
        <v>102</v>
      </c>
      <c r="G21" s="12" t="n">
        <v>1980.9</v>
      </c>
      <c r="H21" s="12" t="n">
        <v>51.45</v>
      </c>
      <c r="I21" s="12" t="n">
        <v>1929.45</v>
      </c>
      <c r="J21" s="12" t="n">
        <f aca="false">ROUND(G21-H21-I21, 2)</f>
        <v>0</v>
      </c>
    </row>
    <row r="22" customFormat="false" ht="18.75" hidden="false" customHeight="true" outlineLevel="0" collapsed="false">
      <c r="A22" s="4" t="s">
        <v>148</v>
      </c>
      <c r="B22" s="4" t="s">
        <v>149</v>
      </c>
      <c r="C22" s="4" t="s">
        <v>150</v>
      </c>
      <c r="D22" s="4" t="s">
        <v>151</v>
      </c>
      <c r="E22" s="4" t="s">
        <v>152</v>
      </c>
      <c r="F22" s="18" t="s">
        <v>102</v>
      </c>
      <c r="G22" s="10" t="n">
        <v>2153.19</v>
      </c>
      <c r="H22" s="10" t="n">
        <v>49.36</v>
      </c>
      <c r="I22" s="10" t="n">
        <v>2103.83</v>
      </c>
      <c r="J22" s="10" t="n">
        <f aca="false">ROUND(G22-H22-I22, 2)</f>
        <v>0</v>
      </c>
    </row>
    <row r="23" customFormat="false" ht="18.75" hidden="false" customHeight="true" outlineLevel="0" collapsed="false">
      <c r="A23" s="7" t="s">
        <v>148</v>
      </c>
      <c r="B23" s="7" t="s">
        <v>149</v>
      </c>
      <c r="C23" s="7" t="s">
        <v>150</v>
      </c>
      <c r="D23" s="7" t="s">
        <v>151</v>
      </c>
      <c r="E23" s="7" t="s">
        <v>152</v>
      </c>
      <c r="F23" s="19" t="s">
        <v>102</v>
      </c>
      <c r="G23" s="12" t="n">
        <v>2153.19</v>
      </c>
      <c r="H23" s="12" t="n">
        <v>49.36</v>
      </c>
      <c r="I23" s="12" t="n">
        <v>2103.83</v>
      </c>
      <c r="J23" s="12" t="n">
        <f aca="false">ROUND(G23-H23-I23, 2)</f>
        <v>0</v>
      </c>
    </row>
    <row r="24" customFormat="false" ht="18.75" hidden="false" customHeight="true" outlineLevel="0" collapsed="false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18" t="s">
        <v>102</v>
      </c>
      <c r="G24" s="10" t="n">
        <v>2326.48</v>
      </c>
      <c r="H24" s="10" t="n">
        <v>45.69</v>
      </c>
      <c r="I24" s="10" t="n">
        <v>2280.79</v>
      </c>
      <c r="J24" s="10" t="n">
        <f aca="false">ROUND(G24-H24-I24, 2)</f>
        <v>0</v>
      </c>
    </row>
    <row r="25" customFormat="false" ht="18.75" hidden="false" customHeight="true" outlineLevel="0" collapsed="false">
      <c r="A25" s="7" t="s">
        <v>153</v>
      </c>
      <c r="B25" s="7" t="s">
        <v>154</v>
      </c>
      <c r="C25" s="7" t="s">
        <v>155</v>
      </c>
      <c r="D25" s="7" t="s">
        <v>156</v>
      </c>
      <c r="E25" s="7" t="s">
        <v>157</v>
      </c>
      <c r="F25" s="19" t="s">
        <v>102</v>
      </c>
      <c r="G25" s="12" t="n">
        <v>2326.48</v>
      </c>
      <c r="H25" s="12" t="n">
        <v>45.69</v>
      </c>
      <c r="I25" s="12" t="n">
        <v>2280.79</v>
      </c>
      <c r="J25" s="12" t="n">
        <f aca="false">ROUND(G25-H25-I25, 2)</f>
        <v>0</v>
      </c>
    </row>
    <row r="26" customFormat="false" ht="18.75" hidden="false" customHeight="true" outlineLevel="0" collapsed="false">
      <c r="A26" s="4" t="s">
        <v>158</v>
      </c>
      <c r="B26" s="4" t="s">
        <v>159</v>
      </c>
      <c r="C26" s="4" t="s">
        <v>160</v>
      </c>
      <c r="D26" s="4" t="s">
        <v>161</v>
      </c>
      <c r="E26" s="4" t="s">
        <v>162</v>
      </c>
      <c r="F26" s="18" t="s">
        <v>102</v>
      </c>
      <c r="G26" s="10" t="n">
        <v>2499.77</v>
      </c>
      <c r="H26" s="10" t="n">
        <v>60.48</v>
      </c>
      <c r="I26" s="10" t="n">
        <v>2439.29</v>
      </c>
      <c r="J26" s="10" t="n">
        <f aca="false">ROUND(G26-H26-I26, 2)</f>
        <v>0</v>
      </c>
    </row>
    <row r="27" customFormat="false" ht="18.75" hidden="false" customHeight="true" outlineLevel="0" collapsed="false">
      <c r="A27" s="7" t="s">
        <v>158</v>
      </c>
      <c r="B27" s="7" t="s">
        <v>159</v>
      </c>
      <c r="C27" s="7" t="s">
        <v>160</v>
      </c>
      <c r="D27" s="7" t="s">
        <v>161</v>
      </c>
      <c r="E27" s="7" t="s">
        <v>162</v>
      </c>
      <c r="F27" s="19" t="s">
        <v>102</v>
      </c>
      <c r="G27" s="12" t="n">
        <v>2499.77</v>
      </c>
      <c r="H27" s="12" t="n">
        <v>60.48</v>
      </c>
      <c r="I27" s="12" t="n">
        <v>2439.29</v>
      </c>
      <c r="J27" s="12" t="n">
        <f aca="false">ROUND(G27-H27-I27, 2)</f>
        <v>0</v>
      </c>
    </row>
    <row r="28" customFormat="false" ht="18.75" hidden="false" customHeight="true" outlineLevel="0" collapsed="false">
      <c r="A28" s="4" t="s">
        <v>163</v>
      </c>
      <c r="B28" s="4" t="s">
        <v>164</v>
      </c>
      <c r="C28" s="4" t="s">
        <v>165</v>
      </c>
      <c r="D28" s="4" t="s">
        <v>166</v>
      </c>
      <c r="E28" s="4" t="s">
        <v>167</v>
      </c>
      <c r="F28" s="18" t="s">
        <v>102</v>
      </c>
      <c r="G28" s="10" t="n">
        <v>2672.06</v>
      </c>
      <c r="H28" s="10" t="n">
        <v>50.06</v>
      </c>
      <c r="I28" s="10" t="n">
        <v>2622</v>
      </c>
      <c r="J28" s="10" t="n">
        <f aca="false">ROUND(G28-H28-I28, 2)</f>
        <v>0</v>
      </c>
    </row>
    <row r="29" customFormat="false" ht="18.75" hidden="false" customHeight="true" outlineLevel="0" collapsed="false">
      <c r="A29" s="7" t="s">
        <v>163</v>
      </c>
      <c r="B29" s="7" t="s">
        <v>164</v>
      </c>
      <c r="C29" s="7" t="s">
        <v>165</v>
      </c>
      <c r="D29" s="7" t="s">
        <v>166</v>
      </c>
      <c r="E29" s="7" t="s">
        <v>167</v>
      </c>
      <c r="F29" s="19" t="s">
        <v>102</v>
      </c>
      <c r="G29" s="12" t="n">
        <v>2672.06</v>
      </c>
      <c r="H29" s="12" t="n">
        <v>50.06</v>
      </c>
      <c r="I29" s="12" t="n">
        <v>2622</v>
      </c>
      <c r="J29" s="12" t="n">
        <f aca="false">ROUND(G29-H29-I29, 2)</f>
        <v>0</v>
      </c>
    </row>
    <row r="30" customFormat="false" ht="18.75" hidden="false" customHeight="true" outlineLevel="0" collapsed="false">
      <c r="A30" s="4" t="s">
        <v>168</v>
      </c>
      <c r="B30" s="4" t="s">
        <v>169</v>
      </c>
      <c r="C30" s="4" t="s">
        <v>170</v>
      </c>
      <c r="D30" s="4" t="s">
        <v>171</v>
      </c>
      <c r="E30" s="4" t="s">
        <v>172</v>
      </c>
      <c r="F30" s="18" t="s">
        <v>102</v>
      </c>
      <c r="G30" s="10" t="n">
        <v>2845.35</v>
      </c>
      <c r="H30" s="10" t="n">
        <v>87.47</v>
      </c>
      <c r="I30" s="10" t="n">
        <v>2757.88</v>
      </c>
      <c r="J30" s="10" t="n">
        <f aca="false">ROUND(G30-H30-I30, 2)</f>
        <v>0</v>
      </c>
    </row>
    <row r="31" customFormat="false" ht="18.75" hidden="false" customHeight="true" outlineLevel="0" collapsed="false">
      <c r="A31" s="7" t="s">
        <v>168</v>
      </c>
      <c r="B31" s="7" t="s">
        <v>169</v>
      </c>
      <c r="C31" s="7" t="s">
        <v>170</v>
      </c>
      <c r="D31" s="7" t="s">
        <v>171</v>
      </c>
      <c r="E31" s="7" t="s">
        <v>172</v>
      </c>
      <c r="F31" s="19" t="s">
        <v>102</v>
      </c>
      <c r="G31" s="12" t="n">
        <v>2845.35</v>
      </c>
      <c r="H31" s="12" t="n">
        <v>87.47</v>
      </c>
      <c r="I31" s="12" t="n">
        <v>2757.88</v>
      </c>
      <c r="J31" s="12" t="n">
        <f aca="false">ROUND(G31-H31-I31, 2)</f>
        <v>0</v>
      </c>
    </row>
    <row r="32" customFormat="false" ht="18.75" hidden="false" customHeight="true" outlineLevel="0" collapsed="false">
      <c r="A32" s="4" t="s">
        <v>173</v>
      </c>
      <c r="B32" s="4" t="s">
        <v>174</v>
      </c>
      <c r="C32" s="4" t="s">
        <v>175</v>
      </c>
      <c r="D32" s="4" t="s">
        <v>176</v>
      </c>
      <c r="E32" s="4" t="s">
        <v>177</v>
      </c>
      <c r="F32" s="18" t="s">
        <v>102</v>
      </c>
      <c r="G32" s="10" t="n">
        <v>3018.64</v>
      </c>
      <c r="H32" s="10" t="n">
        <v>53.42</v>
      </c>
      <c r="I32" s="10" t="n">
        <v>2965.22</v>
      </c>
      <c r="J32" s="10" t="n">
        <f aca="false">ROUND(G32-H32-I32, 2)</f>
        <v>0</v>
      </c>
    </row>
    <row r="33" customFormat="false" ht="18.75" hidden="false" customHeight="true" outlineLevel="0" collapsed="false">
      <c r="A33" s="7" t="s">
        <v>173</v>
      </c>
      <c r="B33" s="7" t="s">
        <v>174</v>
      </c>
      <c r="C33" s="7" t="s">
        <v>175</v>
      </c>
      <c r="D33" s="7" t="s">
        <v>176</v>
      </c>
      <c r="E33" s="7" t="s">
        <v>177</v>
      </c>
      <c r="F33" s="19" t="s">
        <v>102</v>
      </c>
      <c r="G33" s="12" t="n">
        <v>3018.64</v>
      </c>
      <c r="H33" s="12" t="n">
        <v>53.42</v>
      </c>
      <c r="I33" s="12" t="n">
        <v>2965.22</v>
      </c>
      <c r="J33" s="12" t="n">
        <f aca="false">ROUND(G33-H33-I33, 2)</f>
        <v>0</v>
      </c>
    </row>
    <row r="34" customFormat="false" ht="18.75" hidden="false" customHeight="true" outlineLevel="0" collapsed="false">
      <c r="A34" s="4" t="s">
        <v>178</v>
      </c>
      <c r="B34" s="4" t="s">
        <v>179</v>
      </c>
      <c r="C34" s="4" t="s">
        <v>180</v>
      </c>
      <c r="D34" s="4" t="s">
        <v>181</v>
      </c>
      <c r="E34" s="4" t="s">
        <v>182</v>
      </c>
      <c r="F34" s="18" t="s">
        <v>102</v>
      </c>
      <c r="G34" s="10" t="n">
        <v>3191.93</v>
      </c>
      <c r="H34" s="10" t="n">
        <v>80.16</v>
      </c>
      <c r="I34" s="10" t="n">
        <v>3111.77</v>
      </c>
      <c r="J34" s="10" t="n">
        <f aca="false">ROUND(G34-H34-I34, 2)</f>
        <v>0</v>
      </c>
    </row>
    <row r="35" customFormat="false" ht="18.75" hidden="false" customHeight="true" outlineLevel="0" collapsed="false">
      <c r="A35" s="7" t="s">
        <v>178</v>
      </c>
      <c r="B35" s="7" t="s">
        <v>179</v>
      </c>
      <c r="C35" s="7" t="s">
        <v>180</v>
      </c>
      <c r="D35" s="7" t="s">
        <v>181</v>
      </c>
      <c r="E35" s="7" t="s">
        <v>182</v>
      </c>
      <c r="F35" s="19" t="s">
        <v>102</v>
      </c>
      <c r="G35" s="12" t="n">
        <v>3191.93</v>
      </c>
      <c r="H35" s="12" t="n">
        <v>80.16</v>
      </c>
      <c r="I35" s="12" t="n">
        <v>3111.77</v>
      </c>
      <c r="J35" s="12" t="n">
        <f aca="false">ROUND(G35-H35-I35, 2)</f>
        <v>0</v>
      </c>
    </row>
    <row r="36" customFormat="false" ht="18.75" hidden="false" customHeight="true" outlineLevel="0" collapsed="false">
      <c r="A36" s="4" t="s">
        <v>183</v>
      </c>
      <c r="B36" s="4" t="s">
        <v>184</v>
      </c>
      <c r="C36" s="4" t="s">
        <v>185</v>
      </c>
      <c r="D36" s="4" t="s">
        <v>186</v>
      </c>
      <c r="E36" s="4" t="s">
        <v>187</v>
      </c>
      <c r="F36" s="18" t="s">
        <v>102</v>
      </c>
      <c r="G36" s="10" t="n">
        <v>3364.22</v>
      </c>
      <c r="H36" s="10" t="n">
        <v>94.85</v>
      </c>
      <c r="I36" s="10" t="n">
        <v>3269.37</v>
      </c>
      <c r="J36" s="10" t="n">
        <f aca="false">ROUND(G36-H36-I36, 2)</f>
        <v>0</v>
      </c>
    </row>
    <row r="37" customFormat="false" ht="18.75" hidden="false" customHeight="true" outlineLevel="0" collapsed="false">
      <c r="A37" s="7" t="s">
        <v>183</v>
      </c>
      <c r="B37" s="7" t="s">
        <v>184</v>
      </c>
      <c r="C37" s="7" t="s">
        <v>185</v>
      </c>
      <c r="D37" s="7" t="s">
        <v>186</v>
      </c>
      <c r="E37" s="7" t="s">
        <v>187</v>
      </c>
      <c r="F37" s="19" t="s">
        <v>102</v>
      </c>
      <c r="G37" s="12" t="n">
        <v>3364.22</v>
      </c>
      <c r="H37" s="12" t="n">
        <v>94.85</v>
      </c>
      <c r="I37" s="12" t="n">
        <v>3269.37</v>
      </c>
      <c r="J37" s="12" t="n">
        <f aca="false">ROUND(G37-H37-I37, 2)</f>
        <v>0</v>
      </c>
    </row>
    <row r="38" customFormat="false" ht="18.75" hidden="false" customHeight="true" outlineLevel="0" collapsed="false">
      <c r="A38" s="4" t="s">
        <v>188</v>
      </c>
      <c r="B38" s="4" t="s">
        <v>189</v>
      </c>
      <c r="C38" s="4" t="s">
        <v>190</v>
      </c>
      <c r="D38" s="4" t="s">
        <v>191</v>
      </c>
      <c r="E38" s="4" t="s">
        <v>192</v>
      </c>
      <c r="F38" s="18" t="s">
        <v>102</v>
      </c>
      <c r="G38" s="10" t="n">
        <v>3537.51</v>
      </c>
      <c r="H38" s="10" t="n">
        <v>73.33</v>
      </c>
      <c r="I38" s="10" t="n">
        <v>3464.18</v>
      </c>
      <c r="J38" s="10" t="n">
        <f aca="false">ROUND(G38-H38-I38, 2)</f>
        <v>0</v>
      </c>
    </row>
    <row r="39" customFormat="false" ht="18.75" hidden="false" customHeight="true" outlineLevel="0" collapsed="false">
      <c r="A39" s="7" t="s">
        <v>188</v>
      </c>
      <c r="B39" s="7" t="s">
        <v>189</v>
      </c>
      <c r="C39" s="7" t="s">
        <v>190</v>
      </c>
      <c r="D39" s="7" t="s">
        <v>191</v>
      </c>
      <c r="E39" s="7" t="s">
        <v>192</v>
      </c>
      <c r="F39" s="19" t="s">
        <v>102</v>
      </c>
      <c r="G39" s="12" t="n">
        <v>3537.51</v>
      </c>
      <c r="H39" s="12" t="n">
        <v>73.33</v>
      </c>
      <c r="I39" s="12" t="n">
        <v>3464.18</v>
      </c>
      <c r="J39" s="12" t="n">
        <f aca="false">ROUND(G39-H39-I39, 2)</f>
        <v>0</v>
      </c>
    </row>
    <row r="40" customFormat="false" ht="18.75" hidden="false" customHeight="true" outlineLevel="0" collapsed="false">
      <c r="A40" s="4" t="s">
        <v>193</v>
      </c>
      <c r="B40" s="4" t="s">
        <v>194</v>
      </c>
      <c r="C40" s="4" t="s">
        <v>195</v>
      </c>
      <c r="D40" s="4" t="s">
        <v>196</v>
      </c>
      <c r="E40" s="4" t="s">
        <v>197</v>
      </c>
      <c r="F40" s="18" t="s">
        <v>102</v>
      </c>
      <c r="G40" s="10" t="n">
        <v>3710.8</v>
      </c>
      <c r="H40" s="10" t="n">
        <v>74.02</v>
      </c>
      <c r="I40" s="10" t="n">
        <v>3636.78</v>
      </c>
      <c r="J40" s="10" t="n">
        <f aca="false">ROUND(G40-H40-I40, 2)</f>
        <v>0</v>
      </c>
    </row>
    <row r="41" customFormat="false" ht="18.75" hidden="false" customHeight="true" outlineLevel="0" collapsed="false">
      <c r="A41" s="7" t="s">
        <v>193</v>
      </c>
      <c r="B41" s="7" t="s">
        <v>194</v>
      </c>
      <c r="C41" s="7" t="s">
        <v>195</v>
      </c>
      <c r="D41" s="7" t="s">
        <v>196</v>
      </c>
      <c r="E41" s="7" t="s">
        <v>197</v>
      </c>
      <c r="F41" s="19" t="s">
        <v>102</v>
      </c>
      <c r="G41" s="12" t="n">
        <v>3710.8</v>
      </c>
      <c r="H41" s="12" t="n">
        <v>74.02</v>
      </c>
      <c r="I41" s="12" t="n">
        <v>3636.78</v>
      </c>
      <c r="J41" s="12" t="n">
        <f aca="false">ROUND(G41-H41-I41, 2)</f>
        <v>0</v>
      </c>
    </row>
    <row r="42" customFormat="false" ht="18.75" hidden="false" customHeight="true" outlineLevel="0" collapsed="false">
      <c r="A42" s="4" t="s">
        <v>198</v>
      </c>
      <c r="B42" s="4" t="s">
        <v>199</v>
      </c>
      <c r="C42" s="4" t="s">
        <v>200</v>
      </c>
      <c r="D42" s="4" t="s">
        <v>201</v>
      </c>
      <c r="E42" s="4" t="s">
        <v>202</v>
      </c>
      <c r="F42" s="18" t="s">
        <v>102</v>
      </c>
      <c r="G42" s="10" t="n">
        <v>3883.09</v>
      </c>
      <c r="H42" s="10" t="n">
        <v>87.13</v>
      </c>
      <c r="I42" s="10" t="n">
        <v>3795.96</v>
      </c>
      <c r="J42" s="10" t="n">
        <f aca="false">ROUND(G42-H42-I42, 2)</f>
        <v>0</v>
      </c>
    </row>
    <row r="43" customFormat="false" ht="18.75" hidden="false" customHeight="true" outlineLevel="0" collapsed="false">
      <c r="A43" s="7" t="s">
        <v>198</v>
      </c>
      <c r="B43" s="7" t="s">
        <v>199</v>
      </c>
      <c r="C43" s="7" t="s">
        <v>200</v>
      </c>
      <c r="D43" s="7" t="s">
        <v>201</v>
      </c>
      <c r="E43" s="7" t="s">
        <v>202</v>
      </c>
      <c r="F43" s="19" t="s">
        <v>102</v>
      </c>
      <c r="G43" s="12" t="n">
        <v>3883.09</v>
      </c>
      <c r="H43" s="12" t="n">
        <v>87.13</v>
      </c>
      <c r="I43" s="12" t="n">
        <v>3795.96</v>
      </c>
      <c r="J43" s="12" t="n">
        <f aca="false">ROUND(G43-H43-I43, 2)</f>
        <v>0</v>
      </c>
    </row>
    <row r="44" customFormat="false" ht="18.75" hidden="false" customHeight="true" outlineLevel="0" collapsed="false">
      <c r="A44" s="4" t="s">
        <v>203</v>
      </c>
      <c r="B44" s="4" t="s">
        <v>204</v>
      </c>
      <c r="C44" s="4" t="s">
        <v>205</v>
      </c>
      <c r="D44" s="4" t="s">
        <v>206</v>
      </c>
      <c r="E44" s="4" t="s">
        <v>207</v>
      </c>
      <c r="F44" s="18" t="s">
        <v>102</v>
      </c>
      <c r="G44" s="10" t="n">
        <v>4056.38</v>
      </c>
      <c r="H44" s="10" t="n">
        <v>105.86</v>
      </c>
      <c r="I44" s="10" t="n">
        <v>3950.52</v>
      </c>
      <c r="J44" s="10" t="n">
        <f aca="false">ROUND(G44-H44-I44, 2)</f>
        <v>0</v>
      </c>
    </row>
    <row r="45" customFormat="false" ht="18.75" hidden="false" customHeight="true" outlineLevel="0" collapsed="false">
      <c r="A45" s="7" t="s">
        <v>203</v>
      </c>
      <c r="B45" s="7" t="s">
        <v>204</v>
      </c>
      <c r="C45" s="7" t="s">
        <v>205</v>
      </c>
      <c r="D45" s="7" t="s">
        <v>206</v>
      </c>
      <c r="E45" s="7" t="s">
        <v>207</v>
      </c>
      <c r="F45" s="19" t="s">
        <v>102</v>
      </c>
      <c r="G45" s="12" t="n">
        <v>4056.38</v>
      </c>
      <c r="H45" s="12" t="n">
        <v>105.86</v>
      </c>
      <c r="I45" s="12" t="n">
        <v>3950.52</v>
      </c>
      <c r="J45" s="12" t="n">
        <f aca="false">ROUND(G45-H45-I45, 2)</f>
        <v>0</v>
      </c>
    </row>
    <row r="46" customFormat="false" ht="18.75" hidden="false" customHeight="true" outlineLevel="0" collapsed="false">
      <c r="A46" s="4" t="s">
        <v>208</v>
      </c>
      <c r="B46" s="4" t="s">
        <v>209</v>
      </c>
      <c r="C46" s="4" t="s">
        <v>210</v>
      </c>
      <c r="D46" s="4" t="s">
        <v>211</v>
      </c>
      <c r="E46" s="4" t="s">
        <v>212</v>
      </c>
      <c r="F46" s="18" t="s">
        <v>102</v>
      </c>
      <c r="G46" s="10" t="n">
        <v>4229.67</v>
      </c>
      <c r="H46" s="10" t="n">
        <v>81.62</v>
      </c>
      <c r="I46" s="10" t="n">
        <v>4148.05</v>
      </c>
      <c r="J46" s="10" t="n">
        <f aca="false">ROUND(G46-H46-I46, 2)</f>
        <v>0</v>
      </c>
    </row>
    <row r="47" customFormat="false" ht="18.75" hidden="false" customHeight="true" outlineLevel="0" collapsed="false">
      <c r="A47" s="7" t="s">
        <v>208</v>
      </c>
      <c r="B47" s="7" t="s">
        <v>209</v>
      </c>
      <c r="C47" s="7" t="s">
        <v>210</v>
      </c>
      <c r="D47" s="7" t="s">
        <v>211</v>
      </c>
      <c r="E47" s="7" t="s">
        <v>212</v>
      </c>
      <c r="F47" s="19" t="s">
        <v>102</v>
      </c>
      <c r="G47" s="12" t="n">
        <v>4229.67</v>
      </c>
      <c r="H47" s="12" t="n">
        <v>81.62</v>
      </c>
      <c r="I47" s="12" t="n">
        <v>4148.05</v>
      </c>
      <c r="J47" s="12" t="n">
        <f aca="false">ROUND(G47-H47-I47, 2)</f>
        <v>0</v>
      </c>
    </row>
    <row r="48" customFormat="false" ht="18.75" hidden="false" customHeight="true" outlineLevel="0" collapsed="false">
      <c r="A48" s="4" t="s">
        <v>213</v>
      </c>
      <c r="B48" s="4" t="s">
        <v>214</v>
      </c>
      <c r="C48" s="4" t="s">
        <v>215</v>
      </c>
      <c r="D48" s="4" t="s">
        <v>216</v>
      </c>
      <c r="E48" s="4" t="s">
        <v>217</v>
      </c>
      <c r="F48" s="18" t="s">
        <v>102</v>
      </c>
      <c r="G48" s="10" t="n">
        <v>4402.96</v>
      </c>
      <c r="H48" s="10" t="n">
        <v>120.44</v>
      </c>
      <c r="I48" s="10" t="n">
        <v>4282.52</v>
      </c>
      <c r="J48" s="10" t="n">
        <f aca="false">ROUND(G48-H48-I48, 2)</f>
        <v>0</v>
      </c>
    </row>
    <row r="49" customFormat="false" ht="18.75" hidden="false" customHeight="true" outlineLevel="0" collapsed="false">
      <c r="A49" s="7" t="s">
        <v>213</v>
      </c>
      <c r="B49" s="7" t="s">
        <v>214</v>
      </c>
      <c r="C49" s="7" t="s">
        <v>215</v>
      </c>
      <c r="D49" s="7" t="s">
        <v>216</v>
      </c>
      <c r="E49" s="7" t="s">
        <v>217</v>
      </c>
      <c r="F49" s="19" t="s">
        <v>102</v>
      </c>
      <c r="G49" s="12" t="n">
        <v>4402.96</v>
      </c>
      <c r="H49" s="12" t="n">
        <v>120.44</v>
      </c>
      <c r="I49" s="12" t="n">
        <v>4282.52</v>
      </c>
      <c r="J49" s="12" t="n">
        <f aca="false">ROUND(G49-H49-I49, 2)</f>
        <v>0</v>
      </c>
    </row>
    <row r="50" customFormat="false" ht="18.75" hidden="false" customHeight="true" outlineLevel="0" collapsed="false">
      <c r="A50" s="4" t="s">
        <v>218</v>
      </c>
      <c r="B50" s="4" t="s">
        <v>219</v>
      </c>
      <c r="C50" s="4" t="s">
        <v>220</v>
      </c>
      <c r="D50" s="4" t="s">
        <v>221</v>
      </c>
      <c r="E50" s="4" t="s">
        <v>222</v>
      </c>
      <c r="F50" s="18" t="s">
        <v>102</v>
      </c>
      <c r="G50" s="10" t="n">
        <v>4575.25</v>
      </c>
      <c r="H50" s="10" t="n">
        <v>82.75</v>
      </c>
      <c r="I50" s="10" t="n">
        <v>4492.5</v>
      </c>
      <c r="J50" s="10" t="n">
        <f aca="false">ROUND(G50-H50-I50, 2)</f>
        <v>0</v>
      </c>
    </row>
    <row r="51" customFormat="false" ht="18.75" hidden="false" customHeight="true" outlineLevel="0" collapsed="false">
      <c r="A51" s="7" t="s">
        <v>218</v>
      </c>
      <c r="B51" s="7" t="s">
        <v>219</v>
      </c>
      <c r="C51" s="7" t="s">
        <v>220</v>
      </c>
      <c r="D51" s="7" t="s">
        <v>221</v>
      </c>
      <c r="E51" s="7" t="s">
        <v>222</v>
      </c>
      <c r="F51" s="19" t="s">
        <v>102</v>
      </c>
      <c r="G51" s="12" t="n">
        <v>4575.25</v>
      </c>
      <c r="H51" s="12" t="n">
        <v>82.75</v>
      </c>
      <c r="I51" s="12" t="n">
        <v>4492.5</v>
      </c>
      <c r="J51" s="12" t="n">
        <f aca="false">ROUND(G51-H51-I51, 2)</f>
        <v>0</v>
      </c>
    </row>
    <row r="52" customFormat="false" ht="18.75" hidden="false" customHeight="true" outlineLevel="0" collapsed="false">
      <c r="A52" s="4" t="s">
        <v>223</v>
      </c>
      <c r="B52" s="4" t="s">
        <v>224</v>
      </c>
      <c r="C52" s="4" t="s">
        <v>99</v>
      </c>
      <c r="D52" s="4" t="s">
        <v>225</v>
      </c>
      <c r="E52" s="4" t="s">
        <v>226</v>
      </c>
      <c r="F52" s="18" t="s">
        <v>102</v>
      </c>
      <c r="G52" s="10" t="n">
        <v>4748.54</v>
      </c>
      <c r="H52" s="10" t="n">
        <v>103.21</v>
      </c>
      <c r="I52" s="10" t="n">
        <v>4645.33</v>
      </c>
      <c r="J52" s="10" t="n">
        <f aca="false">ROUND(G52-H52-I52, 2)</f>
        <v>0</v>
      </c>
    </row>
    <row r="53" customFormat="false" ht="18.75" hidden="false" customHeight="true" outlineLevel="0" collapsed="false">
      <c r="A53" s="7" t="s">
        <v>227</v>
      </c>
      <c r="B53" s="7" t="s">
        <v>228</v>
      </c>
      <c r="C53" s="7" t="s">
        <v>105</v>
      </c>
      <c r="D53" s="7" t="s">
        <v>229</v>
      </c>
      <c r="E53" s="7" t="s">
        <v>230</v>
      </c>
      <c r="F53" s="19" t="s">
        <v>102</v>
      </c>
      <c r="G53" s="12" t="n">
        <v>4921.83</v>
      </c>
      <c r="H53" s="12" t="n">
        <v>83.08</v>
      </c>
      <c r="I53" s="12" t="n">
        <v>4838.75</v>
      </c>
      <c r="J53" s="12" t="n">
        <f aca="false">ROUND(G53-H53-I53, 2)</f>
        <v>0</v>
      </c>
    </row>
    <row r="54" customFormat="false" ht="18.75" hidden="false" customHeight="true" outlineLevel="0" collapsed="false">
      <c r="A54" s="4" t="s">
        <v>231</v>
      </c>
      <c r="B54" s="4" t="s">
        <v>232</v>
      </c>
      <c r="C54" s="4" t="s">
        <v>110</v>
      </c>
      <c r="D54" s="4" t="s">
        <v>233</v>
      </c>
      <c r="E54" s="4" t="s">
        <v>234</v>
      </c>
      <c r="F54" s="18" t="s">
        <v>102</v>
      </c>
      <c r="G54" s="10" t="n">
        <v>5094.12</v>
      </c>
      <c r="H54" s="10" t="n">
        <v>135.78</v>
      </c>
      <c r="I54" s="10" t="n">
        <v>4958.34</v>
      </c>
      <c r="J54" s="10" t="n">
        <f aca="false">ROUND(G54-H54-I54, 2)</f>
        <v>0</v>
      </c>
    </row>
    <row r="55" customFormat="false" ht="18.75" hidden="false" customHeight="true" outlineLevel="0" collapsed="false">
      <c r="A55" s="7" t="s">
        <v>235</v>
      </c>
      <c r="B55" s="7" t="s">
        <v>236</v>
      </c>
      <c r="C55" s="7" t="s">
        <v>115</v>
      </c>
      <c r="D55" s="7" t="s">
        <v>237</v>
      </c>
      <c r="E55" s="7" t="s">
        <v>238</v>
      </c>
      <c r="F55" s="19" t="s">
        <v>102</v>
      </c>
      <c r="G55" s="12" t="n">
        <v>5267.41</v>
      </c>
      <c r="H55" s="12" t="n">
        <v>111.13</v>
      </c>
      <c r="I55" s="12" t="n">
        <v>5156.28</v>
      </c>
      <c r="J55" s="12" t="n">
        <f aca="false">ROUND(G55-H55-I55, 2)</f>
        <v>0</v>
      </c>
    </row>
    <row r="56" customFormat="false" ht="18.75" hidden="false" customHeight="true" outlineLevel="0" collapsed="false">
      <c r="A56" s="4" t="s">
        <v>239</v>
      </c>
      <c r="B56" s="4" t="s">
        <v>240</v>
      </c>
      <c r="C56" s="4" t="s">
        <v>120</v>
      </c>
      <c r="D56" s="4" t="s">
        <v>241</v>
      </c>
      <c r="E56" s="4" t="s">
        <v>242</v>
      </c>
      <c r="F56" s="18" t="s">
        <v>102</v>
      </c>
      <c r="G56" s="10" t="n">
        <v>5440.7</v>
      </c>
      <c r="H56" s="10" t="n">
        <v>131.35</v>
      </c>
      <c r="I56" s="10" t="n">
        <v>5309.35</v>
      </c>
      <c r="J56" s="10" t="n">
        <f aca="false">ROUND(G56-H56-I56, 2)</f>
        <v>0</v>
      </c>
    </row>
    <row r="57" customFormat="false" ht="18.75" hidden="false" customHeight="true" outlineLevel="0" collapsed="false">
      <c r="A57" s="7" t="s">
        <v>243</v>
      </c>
      <c r="B57" s="7" t="s">
        <v>244</v>
      </c>
      <c r="C57" s="7" t="s">
        <v>125</v>
      </c>
      <c r="D57" s="7" t="s">
        <v>245</v>
      </c>
      <c r="E57" s="7" t="s">
        <v>246</v>
      </c>
      <c r="F57" s="19" t="s">
        <v>102</v>
      </c>
      <c r="G57" s="12" t="n">
        <v>5613.99</v>
      </c>
      <c r="H57" s="12" t="n">
        <v>128.23</v>
      </c>
      <c r="I57" s="12" t="n">
        <v>5485.76</v>
      </c>
      <c r="J57" s="12" t="n">
        <f aca="false">ROUND(G57-H57-I57, 2)</f>
        <v>0</v>
      </c>
    </row>
    <row r="58" customFormat="false" ht="18.75" hidden="false" customHeight="true" outlineLevel="0" collapsed="false">
      <c r="A58" s="4" t="s">
        <v>247</v>
      </c>
      <c r="B58" s="4" t="s">
        <v>248</v>
      </c>
      <c r="C58" s="4" t="s">
        <v>130</v>
      </c>
      <c r="D58" s="4" t="s">
        <v>249</v>
      </c>
      <c r="E58" s="4" t="s">
        <v>250</v>
      </c>
      <c r="F58" s="18" t="s">
        <v>102</v>
      </c>
      <c r="G58" s="10" t="n">
        <v>5786.28</v>
      </c>
      <c r="H58" s="10" t="n">
        <v>104.18</v>
      </c>
      <c r="I58" s="10" t="n">
        <v>5682.1</v>
      </c>
      <c r="J58" s="10" t="n">
        <f aca="false">ROUND(G58-H58-I58, 2)</f>
        <v>0</v>
      </c>
    </row>
    <row r="59" customFormat="false" ht="18.75" hidden="false" customHeight="true" outlineLevel="0" collapsed="false">
      <c r="A59" s="7" t="s">
        <v>251</v>
      </c>
      <c r="B59" s="7" t="s">
        <v>252</v>
      </c>
      <c r="C59" s="7" t="s">
        <v>135</v>
      </c>
      <c r="D59" s="7" t="s">
        <v>253</v>
      </c>
      <c r="E59" s="7" t="s">
        <v>254</v>
      </c>
      <c r="F59" s="19" t="s">
        <v>102</v>
      </c>
      <c r="G59" s="12" t="n">
        <v>5959.57</v>
      </c>
      <c r="H59" s="12" t="n">
        <v>172.91</v>
      </c>
      <c r="I59" s="12" t="n">
        <v>5786.66</v>
      </c>
      <c r="J59" s="12" t="n">
        <f aca="false">ROUND(G59-H59-I59, 2)</f>
        <v>0</v>
      </c>
    </row>
    <row r="60" customFormat="false" ht="18.75" hidden="false" customHeight="true" outlineLevel="0" collapsed="false">
      <c r="A60" s="4" t="s">
        <v>255</v>
      </c>
      <c r="B60" s="4" t="s">
        <v>256</v>
      </c>
      <c r="C60" s="4" t="s">
        <v>140</v>
      </c>
      <c r="D60" s="4" t="s">
        <v>257</v>
      </c>
      <c r="E60" s="4" t="s">
        <v>258</v>
      </c>
      <c r="F60" s="18" t="s">
        <v>102</v>
      </c>
      <c r="G60" s="10" t="n">
        <v>6132.86</v>
      </c>
      <c r="H60" s="10" t="n">
        <v>98.87</v>
      </c>
      <c r="I60" s="10" t="n">
        <v>6033.99</v>
      </c>
      <c r="J60" s="10" t="n">
        <f aca="false">ROUND(G60-H60-I60, 2)</f>
        <v>0</v>
      </c>
    </row>
    <row r="61" customFormat="false" ht="18.75" hidden="false" customHeight="true" outlineLevel="0" collapsed="false">
      <c r="A61" s="7" t="s">
        <v>259</v>
      </c>
      <c r="B61" s="7" t="s">
        <v>260</v>
      </c>
      <c r="C61" s="7" t="s">
        <v>145</v>
      </c>
      <c r="D61" s="7" t="s">
        <v>261</v>
      </c>
      <c r="E61" s="7" t="s">
        <v>262</v>
      </c>
      <c r="F61" s="19" t="s">
        <v>102</v>
      </c>
      <c r="G61" s="12" t="n">
        <v>6305.15</v>
      </c>
      <c r="H61" s="12" t="n">
        <v>158.6</v>
      </c>
      <c r="I61" s="12" t="n">
        <v>6146.55</v>
      </c>
      <c r="J61" s="12" t="n">
        <f aca="false">ROUND(G61-H61-I61, 2)</f>
        <v>0</v>
      </c>
    </row>
    <row r="62" customFormat="false" ht="18.75" hidden="false" customHeight="true" outlineLevel="0" collapsed="false">
      <c r="A62" s="4" t="s">
        <v>263</v>
      </c>
      <c r="B62" s="4" t="s">
        <v>264</v>
      </c>
      <c r="C62" s="4" t="s">
        <v>150</v>
      </c>
      <c r="D62" s="4" t="s">
        <v>265</v>
      </c>
      <c r="E62" s="4" t="s">
        <v>266</v>
      </c>
      <c r="F62" s="18" t="s">
        <v>102</v>
      </c>
      <c r="G62" s="10" t="n">
        <v>6478.44</v>
      </c>
      <c r="H62" s="10" t="n">
        <v>143.78</v>
      </c>
      <c r="I62" s="10" t="n">
        <v>6334.66</v>
      </c>
      <c r="J62" s="10" t="n">
        <f aca="false">ROUND(G62-H62-I62, 2)</f>
        <v>0</v>
      </c>
    </row>
    <row r="63" customFormat="false" ht="18.75" hidden="false" customHeight="true" outlineLevel="0" collapsed="false">
      <c r="A63" s="7" t="s">
        <v>267</v>
      </c>
      <c r="B63" s="7" t="s">
        <v>268</v>
      </c>
      <c r="C63" s="7" t="s">
        <v>155</v>
      </c>
      <c r="D63" s="7" t="s">
        <v>269</v>
      </c>
      <c r="E63" s="7" t="s">
        <v>270</v>
      </c>
      <c r="F63" s="19" t="s">
        <v>102</v>
      </c>
      <c r="G63" s="12" t="n">
        <v>6651.73</v>
      </c>
      <c r="H63" s="12" t="n">
        <v>127.36</v>
      </c>
      <c r="I63" s="12" t="n">
        <v>6524.37</v>
      </c>
      <c r="J63" s="12" t="n">
        <f aca="false">ROUND(G63-H63-I63, 2)</f>
        <v>0</v>
      </c>
    </row>
    <row r="64" customFormat="false" ht="18.75" hidden="false" customHeight="true" outlineLevel="0" collapsed="false">
      <c r="A64" s="4" t="s">
        <v>271</v>
      </c>
      <c r="B64" s="4" t="s">
        <v>272</v>
      </c>
      <c r="C64" s="4" t="s">
        <v>160</v>
      </c>
      <c r="D64" s="4" t="s">
        <v>273</v>
      </c>
      <c r="E64" s="4" t="s">
        <v>274</v>
      </c>
      <c r="F64" s="18" t="s">
        <v>102</v>
      </c>
      <c r="G64" s="10" t="n">
        <v>6824.02</v>
      </c>
      <c r="H64" s="10" t="n">
        <v>159.97</v>
      </c>
      <c r="I64" s="10" t="n">
        <v>6664.05</v>
      </c>
      <c r="J64" s="10" t="n">
        <f aca="false">ROUND(G64-H64-I64, 2)</f>
        <v>0</v>
      </c>
    </row>
    <row r="65" customFormat="false" ht="18.75" hidden="false" customHeight="true" outlineLevel="0" collapsed="false">
      <c r="A65" s="7" t="s">
        <v>275</v>
      </c>
      <c r="B65" s="7" t="s">
        <v>276</v>
      </c>
      <c r="C65" s="7" t="s">
        <v>165</v>
      </c>
      <c r="D65" s="7" t="s">
        <v>277</v>
      </c>
      <c r="E65" s="7" t="s">
        <v>278</v>
      </c>
      <c r="F65" s="19" t="s">
        <v>102</v>
      </c>
      <c r="G65" s="12" t="n">
        <v>6997.31</v>
      </c>
      <c r="H65" s="12" t="n">
        <v>129.16</v>
      </c>
      <c r="I65" s="12" t="n">
        <v>6868.15</v>
      </c>
      <c r="J65" s="12" t="n">
        <f aca="false">ROUND(G65-H65-I65, 2)</f>
        <v>0</v>
      </c>
    </row>
    <row r="66" customFormat="false" ht="18.75" hidden="false" customHeight="true" outlineLevel="0" collapsed="false">
      <c r="A66" s="4" t="s">
        <v>279</v>
      </c>
      <c r="B66" s="4" t="s">
        <v>280</v>
      </c>
      <c r="C66" s="4" t="s">
        <v>170</v>
      </c>
      <c r="D66" s="4" t="s">
        <v>281</v>
      </c>
      <c r="E66" s="4" t="s">
        <v>282</v>
      </c>
      <c r="F66" s="18" t="s">
        <v>102</v>
      </c>
      <c r="G66" s="10" t="n">
        <v>7170.6</v>
      </c>
      <c r="H66" s="10" t="n">
        <v>215.08</v>
      </c>
      <c r="I66" s="10" t="n">
        <v>6955.52</v>
      </c>
      <c r="J66" s="10" t="n">
        <f aca="false">ROUND(G66-H66-I66, 2)</f>
        <v>0</v>
      </c>
    </row>
    <row r="67" customFormat="false" ht="18.75" hidden="false" customHeight="true" outlineLevel="0" collapsed="false">
      <c r="A67" s="7" t="s">
        <v>283</v>
      </c>
      <c r="B67" s="7" t="s">
        <v>284</v>
      </c>
      <c r="C67" s="7" t="s">
        <v>175</v>
      </c>
      <c r="D67" s="7" t="s">
        <v>285</v>
      </c>
      <c r="E67" s="7" t="s">
        <v>286</v>
      </c>
      <c r="F67" s="19" t="s">
        <v>102</v>
      </c>
      <c r="G67" s="12" t="n">
        <v>7343.89</v>
      </c>
      <c r="H67" s="12" t="n">
        <v>127.43</v>
      </c>
      <c r="I67" s="12" t="n">
        <v>7216.46</v>
      </c>
      <c r="J67" s="12" t="n">
        <f aca="false">ROUND(G67-H67-I67, 2)</f>
        <v>0</v>
      </c>
    </row>
    <row r="68" customFormat="false" ht="18.75" hidden="false" customHeight="true" outlineLevel="0" collapsed="false">
      <c r="A68" s="4" t="s">
        <v>287</v>
      </c>
      <c r="B68" s="4" t="s">
        <v>288</v>
      </c>
      <c r="C68" s="4" t="s">
        <v>180</v>
      </c>
      <c r="D68" s="4" t="s">
        <v>289</v>
      </c>
      <c r="E68" s="4" t="s">
        <v>290</v>
      </c>
      <c r="F68" s="18" t="s">
        <v>102</v>
      </c>
      <c r="G68" s="10" t="n">
        <v>7516.18</v>
      </c>
      <c r="H68" s="10" t="n">
        <v>184.76</v>
      </c>
      <c r="I68" s="10" t="n">
        <v>7331.42</v>
      </c>
      <c r="J68" s="10" t="n">
        <f aca="false">ROUND(G68-H68-I68, 2)</f>
        <v>0</v>
      </c>
    </row>
    <row r="69" customFormat="false" ht="18.75" hidden="false" customHeight="true" outlineLevel="0" collapsed="false">
      <c r="A69" s="7" t="s">
        <v>291</v>
      </c>
      <c r="B69" s="7" t="s">
        <v>292</v>
      </c>
      <c r="C69" s="7" t="s">
        <v>185</v>
      </c>
      <c r="D69" s="7" t="s">
        <v>293</v>
      </c>
      <c r="E69" s="7" t="s">
        <v>294</v>
      </c>
      <c r="F69" s="19" t="s">
        <v>102</v>
      </c>
      <c r="G69" s="12" t="n">
        <v>7689.47</v>
      </c>
      <c r="H69" s="12" t="n">
        <v>212.23</v>
      </c>
      <c r="I69" s="12" t="n">
        <v>7477.24</v>
      </c>
      <c r="J69" s="12" t="n">
        <f aca="false">ROUND(G69-H69-I69, 2)</f>
        <v>0</v>
      </c>
    </row>
    <row r="70" customFormat="false" ht="18.75" hidden="false" customHeight="true" outlineLevel="0" collapsed="false">
      <c r="A70" s="4" t="s">
        <v>295</v>
      </c>
      <c r="B70" s="4" t="s">
        <v>296</v>
      </c>
      <c r="C70" s="4" t="s">
        <v>190</v>
      </c>
      <c r="D70" s="4" t="s">
        <v>297</v>
      </c>
      <c r="E70" s="4" t="s">
        <v>298</v>
      </c>
      <c r="F70" s="18" t="s">
        <v>102</v>
      </c>
      <c r="G70" s="10" t="n">
        <v>7862.76</v>
      </c>
      <c r="H70" s="10" t="n">
        <v>160.09</v>
      </c>
      <c r="I70" s="10" t="n">
        <v>7702.67</v>
      </c>
      <c r="J70" s="10" t="n">
        <f aca="false">ROUND(G70-H70-I70, 2)</f>
        <v>0</v>
      </c>
    </row>
    <row r="71" customFormat="false" ht="18.75" hidden="false" customHeight="true" outlineLevel="0" collapsed="false">
      <c r="A71" s="7" t="s">
        <v>299</v>
      </c>
      <c r="B71" s="7" t="s">
        <v>300</v>
      </c>
      <c r="C71" s="7" t="s">
        <v>195</v>
      </c>
      <c r="D71" s="7" t="s">
        <v>301</v>
      </c>
      <c r="E71" s="7" t="s">
        <v>302</v>
      </c>
      <c r="F71" s="19" t="s">
        <v>102</v>
      </c>
      <c r="G71" s="12" t="n">
        <v>8035.05</v>
      </c>
      <c r="H71" s="12" t="n">
        <v>158.21</v>
      </c>
      <c r="I71" s="12" t="n">
        <v>7876.84</v>
      </c>
      <c r="J71" s="12" t="n">
        <f aca="false">ROUND(G71-H71-I71, 2)</f>
        <v>0</v>
      </c>
    </row>
    <row r="72" customFormat="false" ht="18.75" hidden="false" customHeight="true" outlineLevel="0" collapsed="false">
      <c r="A72" s="4" t="s">
        <v>303</v>
      </c>
      <c r="B72" s="4" t="s">
        <v>304</v>
      </c>
      <c r="C72" s="4" t="s">
        <v>200</v>
      </c>
      <c r="D72" s="4" t="s">
        <v>305</v>
      </c>
      <c r="E72" s="4" t="s">
        <v>306</v>
      </c>
      <c r="F72" s="18" t="s">
        <v>102</v>
      </c>
      <c r="G72" s="10" t="n">
        <v>8208.34</v>
      </c>
      <c r="H72" s="10" t="n">
        <v>181.54</v>
      </c>
      <c r="I72" s="10" t="n">
        <v>8026.8</v>
      </c>
      <c r="J72" s="10" t="n">
        <f aca="false">ROUND(G72-H72-I72, 2)</f>
        <v>0</v>
      </c>
    </row>
    <row r="73" customFormat="false" ht="18.75" hidden="false" customHeight="true" outlineLevel="0" collapsed="false">
      <c r="A73" s="7" t="s">
        <v>307</v>
      </c>
      <c r="B73" s="7" t="s">
        <v>308</v>
      </c>
      <c r="C73" s="7" t="s">
        <v>205</v>
      </c>
      <c r="D73" s="7" t="s">
        <v>309</v>
      </c>
      <c r="E73" s="7" t="s">
        <v>310</v>
      </c>
      <c r="F73" s="19" t="s">
        <v>102</v>
      </c>
      <c r="G73" s="12" t="n">
        <v>8381.63</v>
      </c>
      <c r="H73" s="12" t="n">
        <v>215.6</v>
      </c>
      <c r="I73" s="12" t="n">
        <v>8166.03</v>
      </c>
      <c r="J73" s="12" t="n">
        <f aca="false">ROUND(G73-H73-I73, 2)</f>
        <v>0</v>
      </c>
    </row>
    <row r="74" customFormat="false" ht="18.75" hidden="false" customHeight="true" outlineLevel="0" collapsed="false">
      <c r="A74" s="4" t="s">
        <v>311</v>
      </c>
      <c r="B74" s="4" t="s">
        <v>312</v>
      </c>
      <c r="C74" s="4" t="s">
        <v>210</v>
      </c>
      <c r="D74" s="4" t="s">
        <v>313</v>
      </c>
      <c r="E74" s="4" t="s">
        <v>314</v>
      </c>
      <c r="F74" s="18" t="s">
        <v>102</v>
      </c>
      <c r="G74" s="10" t="n">
        <v>8554.92</v>
      </c>
      <c r="H74" s="10" t="n">
        <v>163.29</v>
      </c>
      <c r="I74" s="10" t="n">
        <v>8391.63</v>
      </c>
      <c r="J74" s="10" t="n">
        <f aca="false">ROUND(G74-H74-I74, 2)</f>
        <v>0</v>
      </c>
    </row>
    <row r="75" customFormat="false" ht="18.75" hidden="false" customHeight="true" outlineLevel="0" collapsed="false">
      <c r="A75" s="7" t="s">
        <v>315</v>
      </c>
      <c r="B75" s="7" t="s">
        <v>316</v>
      </c>
      <c r="C75" s="7" t="s">
        <v>215</v>
      </c>
      <c r="D75" s="7" t="s">
        <v>317</v>
      </c>
      <c r="E75" s="7" t="s">
        <v>318</v>
      </c>
      <c r="F75" s="19" t="s">
        <v>102</v>
      </c>
      <c r="G75" s="12" t="n">
        <v>8727.21</v>
      </c>
      <c r="H75" s="12" t="n">
        <v>235.24</v>
      </c>
      <c r="I75" s="12" t="n">
        <v>8491.97</v>
      </c>
      <c r="J75" s="12" t="n">
        <f aca="false">ROUND(G75-H75-I75, 2)</f>
        <v>0</v>
      </c>
    </row>
    <row r="76" customFormat="false" ht="18.75" hidden="false" customHeight="true" outlineLevel="0" collapsed="false">
      <c r="A76" s="4" t="s">
        <v>319</v>
      </c>
      <c r="B76" s="4" t="s">
        <v>320</v>
      </c>
      <c r="C76" s="4" t="s">
        <v>220</v>
      </c>
      <c r="D76" s="4" t="s">
        <v>321</v>
      </c>
      <c r="E76" s="4" t="s">
        <v>322</v>
      </c>
      <c r="F76" s="18" t="s">
        <v>102</v>
      </c>
      <c r="G76" s="10" t="n">
        <v>8900.5</v>
      </c>
      <c r="H76" s="10" t="n">
        <v>159.31</v>
      </c>
      <c r="I76" s="10" t="n">
        <v>8741.19</v>
      </c>
      <c r="J76" s="10" t="n">
        <f aca="false">ROUND(G76-H76-I76, 2)</f>
        <v>0</v>
      </c>
    </row>
    <row r="77" customFormat="false" ht="18.75" hidden="false" customHeight="true" outlineLevel="0" collapsed="false">
      <c r="A77" s="7" t="s">
        <v>323</v>
      </c>
      <c r="B77" s="7" t="s">
        <v>324</v>
      </c>
      <c r="C77" s="7" t="s">
        <v>99</v>
      </c>
      <c r="D77" s="7" t="s">
        <v>325</v>
      </c>
      <c r="E77" s="7" t="s">
        <v>101</v>
      </c>
      <c r="F77" s="19" t="s">
        <v>102</v>
      </c>
      <c r="G77" s="12" t="n">
        <v>9073.79</v>
      </c>
      <c r="H77" s="12" t="n">
        <v>195.09</v>
      </c>
      <c r="I77" s="12" t="n">
        <v>8878.7</v>
      </c>
      <c r="J77" s="12" t="n">
        <f aca="false">ROUND(G77-H77-I77, 2)</f>
        <v>0</v>
      </c>
    </row>
    <row r="78" customFormat="false" ht="18.75" hidden="false" customHeight="true" outlineLevel="0" collapsed="false">
      <c r="A78" s="4" t="s">
        <v>326</v>
      </c>
      <c r="B78" s="4" t="s">
        <v>327</v>
      </c>
      <c r="C78" s="4" t="s">
        <v>105</v>
      </c>
      <c r="D78" s="4" t="s">
        <v>328</v>
      </c>
      <c r="E78" s="4" t="s">
        <v>107</v>
      </c>
      <c r="F78" s="18" t="s">
        <v>102</v>
      </c>
      <c r="G78" s="10" t="n">
        <v>9246.08</v>
      </c>
      <c r="H78" s="10" t="n">
        <v>154.52</v>
      </c>
      <c r="I78" s="10" t="n">
        <v>9091.56</v>
      </c>
      <c r="J78" s="10" t="n">
        <f aca="false">ROUND(G78-H78-I78, 2)</f>
        <v>0</v>
      </c>
    </row>
    <row r="79" customFormat="false" ht="18.75" hidden="false" customHeight="true" outlineLevel="0" collapsed="false">
      <c r="A79" s="7" t="s">
        <v>329</v>
      </c>
      <c r="B79" s="7" t="s">
        <v>330</v>
      </c>
      <c r="C79" s="7" t="s">
        <v>110</v>
      </c>
      <c r="D79" s="7" t="s">
        <v>331</v>
      </c>
      <c r="E79" s="7" t="s">
        <v>112</v>
      </c>
      <c r="F79" s="19" t="s">
        <v>102</v>
      </c>
      <c r="G79" s="12" t="n">
        <v>9419.37</v>
      </c>
      <c r="H79" s="12" t="n">
        <v>248.07</v>
      </c>
      <c r="I79" s="12" t="n">
        <v>9171.3</v>
      </c>
      <c r="J79" s="12" t="n">
        <f aca="false">ROUND(G79-H79-I79, 2)</f>
        <v>0</v>
      </c>
    </row>
    <row r="80" customFormat="false" ht="18.75" hidden="false" customHeight="true" outlineLevel="0" collapsed="false">
      <c r="A80" s="4" t="s">
        <v>332</v>
      </c>
      <c r="B80" s="4" t="s">
        <v>333</v>
      </c>
      <c r="C80" s="4" t="s">
        <v>115</v>
      </c>
      <c r="D80" s="4" t="s">
        <v>334</v>
      </c>
      <c r="E80" s="4" t="s">
        <v>117</v>
      </c>
      <c r="F80" s="18" t="s">
        <v>102</v>
      </c>
      <c r="G80" s="10" t="n">
        <v>9592.66</v>
      </c>
      <c r="H80" s="10" t="n">
        <v>200.45</v>
      </c>
      <c r="I80" s="10" t="n">
        <v>9392.21</v>
      </c>
      <c r="J80" s="10" t="n">
        <f aca="false">ROUND(G80-H80-I80, 2)</f>
        <v>0</v>
      </c>
    </row>
    <row r="81" customFormat="false" ht="18.75" hidden="false" customHeight="true" outlineLevel="0" collapsed="false">
      <c r="A81" s="7" t="s">
        <v>335</v>
      </c>
      <c r="B81" s="7" t="s">
        <v>336</v>
      </c>
      <c r="C81" s="7" t="s">
        <v>120</v>
      </c>
      <c r="D81" s="7" t="s">
        <v>337</v>
      </c>
      <c r="E81" s="7" t="s">
        <v>122</v>
      </c>
      <c r="F81" s="19" t="s">
        <v>102</v>
      </c>
      <c r="G81" s="12" t="n">
        <v>9765.95</v>
      </c>
      <c r="H81" s="12" t="n">
        <v>233.43</v>
      </c>
      <c r="I81" s="12" t="n">
        <v>9532.52</v>
      </c>
      <c r="J81" s="12" t="n">
        <f aca="false">ROUND(G81-H81-I81, 2)</f>
        <v>0</v>
      </c>
    </row>
    <row r="82" customFormat="false" ht="18.75" hidden="false" customHeight="true" outlineLevel="0" collapsed="false">
      <c r="A82" s="4" t="s">
        <v>338</v>
      </c>
      <c r="B82" s="4" t="s">
        <v>339</v>
      </c>
      <c r="C82" s="4" t="s">
        <v>125</v>
      </c>
      <c r="D82" s="4" t="s">
        <v>340</v>
      </c>
      <c r="E82" s="4" t="s">
        <v>127</v>
      </c>
      <c r="F82" s="18" t="s">
        <v>102</v>
      </c>
      <c r="G82" s="10" t="n">
        <v>9938.24</v>
      </c>
      <c r="H82" s="10" t="n">
        <v>225.18</v>
      </c>
      <c r="I82" s="10" t="n">
        <v>9713.06</v>
      </c>
      <c r="J82" s="10" t="n">
        <f aca="false">ROUND(G82-H82-I82, 2)</f>
        <v>0</v>
      </c>
    </row>
    <row r="83" customFormat="false" ht="18.75" hidden="false" customHeight="true" outlineLevel="0" collapsed="false">
      <c r="A83" s="7" t="s">
        <v>341</v>
      </c>
      <c r="B83" s="7" t="s">
        <v>342</v>
      </c>
      <c r="C83" s="7" t="s">
        <v>130</v>
      </c>
      <c r="D83" s="7" t="s">
        <v>343</v>
      </c>
      <c r="E83" s="7" t="s">
        <v>132</v>
      </c>
      <c r="F83" s="19" t="s">
        <v>102</v>
      </c>
      <c r="G83" s="12" t="n">
        <v>10111.53</v>
      </c>
      <c r="H83" s="12" t="n">
        <v>180.74</v>
      </c>
      <c r="I83" s="12" t="n">
        <v>9930.79</v>
      </c>
      <c r="J83" s="12" t="n">
        <f aca="false">ROUND(G83-H83-I83, 2)</f>
        <v>0</v>
      </c>
    </row>
    <row r="84" customFormat="false" ht="18.75" hidden="false" customHeight="true" outlineLevel="0" collapsed="false">
      <c r="A84" s="4" t="s">
        <v>344</v>
      </c>
      <c r="B84" s="4" t="s">
        <v>345</v>
      </c>
      <c r="C84" s="4" t="s">
        <v>135</v>
      </c>
      <c r="D84" s="4" t="s">
        <v>346</v>
      </c>
      <c r="E84" s="4" t="s">
        <v>137</v>
      </c>
      <c r="F84" s="18" t="s">
        <v>102</v>
      </c>
      <c r="G84" s="10" t="n">
        <v>10284.82</v>
      </c>
      <c r="H84" s="10" t="n">
        <v>295.4</v>
      </c>
      <c r="I84" s="10" t="n">
        <v>9989.42</v>
      </c>
      <c r="J84" s="10" t="n">
        <f aca="false">ROUND(G84-H84-I84, 2)</f>
        <v>0</v>
      </c>
    </row>
    <row r="85" customFormat="false" ht="18.75" hidden="false" customHeight="true" outlineLevel="0" collapsed="false">
      <c r="A85" s="7" t="s">
        <v>347</v>
      </c>
      <c r="B85" s="7" t="s">
        <v>348</v>
      </c>
      <c r="C85" s="7" t="s">
        <v>140</v>
      </c>
      <c r="D85" s="7" t="s">
        <v>349</v>
      </c>
      <c r="E85" s="7" t="s">
        <v>142</v>
      </c>
      <c r="F85" s="19" t="s">
        <v>102</v>
      </c>
      <c r="G85" s="12" t="n">
        <v>10457.11</v>
      </c>
      <c r="H85" s="12" t="n">
        <v>167.76</v>
      </c>
      <c r="I85" s="12" t="n">
        <v>10289.35</v>
      </c>
      <c r="J85" s="12" t="n">
        <f aca="false">ROUND(G85-H85-I85, 2)</f>
        <v>0</v>
      </c>
    </row>
    <row r="86" customFormat="false" ht="18.75" hidden="false" customHeight="true" outlineLevel="0" collapsed="false">
      <c r="A86" s="4" t="s">
        <v>350</v>
      </c>
      <c r="B86" s="4" t="s">
        <v>351</v>
      </c>
      <c r="C86" s="4" t="s">
        <v>145</v>
      </c>
      <c r="D86" s="4" t="s">
        <v>352</v>
      </c>
      <c r="E86" s="4" t="s">
        <v>147</v>
      </c>
      <c r="F86" s="18" t="s">
        <v>102</v>
      </c>
      <c r="G86" s="10" t="n">
        <v>10630.4</v>
      </c>
      <c r="H86" s="10" t="n">
        <v>265.78</v>
      </c>
      <c r="I86" s="10" t="n">
        <v>10364.62</v>
      </c>
      <c r="J86" s="10" t="n">
        <f aca="false">ROUND(G86-H86-I86, 2)</f>
        <v>0</v>
      </c>
    </row>
    <row r="87" customFormat="false" ht="18.75" hidden="false" customHeight="true" outlineLevel="0" collapsed="false">
      <c r="A87" s="7" t="s">
        <v>353</v>
      </c>
      <c r="B87" s="7" t="s">
        <v>354</v>
      </c>
      <c r="C87" s="7" t="s">
        <v>150</v>
      </c>
      <c r="D87" s="7" t="s">
        <v>355</v>
      </c>
      <c r="E87" s="7" t="s">
        <v>152</v>
      </c>
      <c r="F87" s="19" t="s">
        <v>102</v>
      </c>
      <c r="G87" s="12" t="n">
        <v>10803.69</v>
      </c>
      <c r="H87" s="12" t="n">
        <v>238.21</v>
      </c>
      <c r="I87" s="12" t="n">
        <v>10565.48</v>
      </c>
      <c r="J87" s="12" t="n">
        <f aca="false">ROUND(G87-H87-I87, 2)</f>
        <v>0</v>
      </c>
    </row>
    <row r="88" customFormat="false" ht="18.75" hidden="false" customHeight="true" outlineLevel="0" collapsed="false">
      <c r="A88" s="4" t="s">
        <v>356</v>
      </c>
      <c r="B88" s="4" t="s">
        <v>357</v>
      </c>
      <c r="C88" s="4" t="s">
        <v>155</v>
      </c>
      <c r="D88" s="4" t="s">
        <v>358</v>
      </c>
      <c r="E88" s="4" t="s">
        <v>157</v>
      </c>
      <c r="F88" s="18" t="s">
        <v>102</v>
      </c>
      <c r="G88" s="10" t="n">
        <v>10976.98</v>
      </c>
      <c r="H88" s="10" t="n">
        <v>209.01</v>
      </c>
      <c r="I88" s="10" t="n">
        <v>10767.97</v>
      </c>
      <c r="J88" s="10" t="n">
        <f aca="false">ROUND(G88-H88-I88, 2)</f>
        <v>0</v>
      </c>
    </row>
    <row r="89" customFormat="false" ht="18.75" hidden="false" customHeight="true" outlineLevel="0" collapsed="false">
      <c r="A89" s="7" t="s">
        <v>359</v>
      </c>
      <c r="B89" s="7" t="s">
        <v>360</v>
      </c>
      <c r="C89" s="7" t="s">
        <v>160</v>
      </c>
      <c r="D89" s="7" t="s">
        <v>361</v>
      </c>
      <c r="E89" s="7" t="s">
        <v>162</v>
      </c>
      <c r="F89" s="19" t="s">
        <v>102</v>
      </c>
      <c r="G89" s="12" t="n">
        <v>11149.27</v>
      </c>
      <c r="H89" s="12" t="n">
        <v>259.49</v>
      </c>
      <c r="I89" s="12" t="n">
        <v>10889.78</v>
      </c>
      <c r="J89" s="12" t="n">
        <f aca="false">ROUND(G89-H89-I89, 2)</f>
        <v>0</v>
      </c>
    </row>
    <row r="90" customFormat="false" ht="18.75" hidden="false" customHeight="true" outlineLevel="0" collapsed="false">
      <c r="A90" s="4" t="s">
        <v>362</v>
      </c>
      <c r="B90" s="4" t="s">
        <v>363</v>
      </c>
      <c r="C90" s="4" t="s">
        <v>165</v>
      </c>
      <c r="D90" s="4" t="s">
        <v>364</v>
      </c>
      <c r="E90" s="4" t="s">
        <v>167</v>
      </c>
      <c r="F90" s="18" t="s">
        <v>102</v>
      </c>
      <c r="G90" s="10" t="n">
        <v>11322.56</v>
      </c>
      <c r="H90" s="10" t="n">
        <v>208.27</v>
      </c>
      <c r="I90" s="10" t="n">
        <v>11114.29</v>
      </c>
      <c r="J90" s="10" t="n">
        <f aca="false">ROUND(G90-H90-I90, 2)</f>
        <v>0</v>
      </c>
    </row>
    <row r="91" customFormat="false" ht="18.75" hidden="false" customHeight="true" outlineLevel="0" collapsed="false">
      <c r="A91" s="7" t="s">
        <v>365</v>
      </c>
      <c r="B91" s="7" t="s">
        <v>366</v>
      </c>
      <c r="C91" s="7" t="s">
        <v>170</v>
      </c>
      <c r="D91" s="7" t="s">
        <v>367</v>
      </c>
      <c r="E91" s="7" t="s">
        <v>172</v>
      </c>
      <c r="F91" s="19" t="s">
        <v>102</v>
      </c>
      <c r="G91" s="12" t="n">
        <v>11495.85</v>
      </c>
      <c r="H91" s="12" t="n">
        <v>342.67</v>
      </c>
      <c r="I91" s="12" t="n">
        <v>11153.18</v>
      </c>
      <c r="J91" s="12" t="n">
        <f aca="false">ROUND(G91-H91-I91, 2)</f>
        <v>0</v>
      </c>
    </row>
    <row r="92" customFormat="false" ht="18.75" hidden="false" customHeight="true" outlineLevel="0" collapsed="false">
      <c r="A92" s="4" t="s">
        <v>368</v>
      </c>
      <c r="B92" s="4" t="s">
        <v>369</v>
      </c>
      <c r="C92" s="4" t="s">
        <v>175</v>
      </c>
      <c r="D92" s="4" t="s">
        <v>370</v>
      </c>
      <c r="E92" s="4" t="s">
        <v>177</v>
      </c>
      <c r="F92" s="18" t="s">
        <v>102</v>
      </c>
      <c r="G92" s="10" t="n">
        <v>11668.14</v>
      </c>
      <c r="H92" s="10" t="n">
        <v>201.41</v>
      </c>
      <c r="I92" s="10" t="n">
        <v>11466.73</v>
      </c>
      <c r="J92" s="10" t="n">
        <f aca="false">ROUND(G92-H92-I92, 2)</f>
        <v>0</v>
      </c>
    </row>
    <row r="93" customFormat="false" ht="18.75" hidden="false" customHeight="true" outlineLevel="0" collapsed="false">
      <c r="A93" s="7" t="s">
        <v>371</v>
      </c>
      <c r="B93" s="7" t="s">
        <v>372</v>
      </c>
      <c r="C93" s="7" t="s">
        <v>180</v>
      </c>
      <c r="D93" s="7" t="s">
        <v>373</v>
      </c>
      <c r="E93" s="7" t="s">
        <v>182</v>
      </c>
      <c r="F93" s="19" t="s">
        <v>102</v>
      </c>
      <c r="G93" s="12" t="n">
        <v>11841.43</v>
      </c>
      <c r="H93" s="12" t="n">
        <v>289.4</v>
      </c>
      <c r="I93" s="12" t="n">
        <v>11552.03</v>
      </c>
      <c r="J93" s="12" t="n">
        <f aca="false">ROUND(G93-H93-I93, 2)</f>
        <v>0</v>
      </c>
    </row>
    <row r="94" customFormat="false" ht="18.75" hidden="false" customHeight="true" outlineLevel="0" collapsed="false">
      <c r="A94" s="4" t="s">
        <v>374</v>
      </c>
      <c r="B94" s="4" t="s">
        <v>375</v>
      </c>
      <c r="C94" s="4" t="s">
        <v>185</v>
      </c>
      <c r="D94" s="4" t="s">
        <v>376</v>
      </c>
      <c r="E94" s="4" t="s">
        <v>187</v>
      </c>
      <c r="F94" s="18" t="s">
        <v>102</v>
      </c>
      <c r="G94" s="10" t="n">
        <v>12014.72</v>
      </c>
      <c r="H94" s="10" t="n">
        <v>329.62</v>
      </c>
      <c r="I94" s="10" t="n">
        <v>11685.1</v>
      </c>
      <c r="J94" s="10" t="n">
        <f aca="false">ROUND(G94-H94-I94, 2)</f>
        <v>0</v>
      </c>
    </row>
    <row r="95" customFormat="false" ht="18.75" hidden="false" customHeight="true" outlineLevel="0" collapsed="false">
      <c r="A95" s="7" t="s">
        <v>377</v>
      </c>
      <c r="B95" s="7" t="s">
        <v>378</v>
      </c>
      <c r="C95" s="7" t="s">
        <v>190</v>
      </c>
      <c r="D95" s="7" t="s">
        <v>379</v>
      </c>
      <c r="E95" s="7" t="s">
        <v>192</v>
      </c>
      <c r="F95" s="19" t="s">
        <v>102</v>
      </c>
      <c r="G95" s="12" t="n">
        <v>12187.01</v>
      </c>
      <c r="H95" s="12" t="n">
        <v>246.83</v>
      </c>
      <c r="I95" s="12" t="n">
        <v>11940.18</v>
      </c>
      <c r="J95" s="12" t="n">
        <f aca="false">ROUND(G95-H95-I95, 2)</f>
        <v>0</v>
      </c>
    </row>
    <row r="96" customFormat="false" ht="18.75" hidden="false" customHeight="true" outlineLevel="0" collapsed="false">
      <c r="A96" s="4" t="s">
        <v>380</v>
      </c>
      <c r="B96" s="4" t="s">
        <v>381</v>
      </c>
      <c r="C96" s="4" t="s">
        <v>195</v>
      </c>
      <c r="D96" s="4" t="s">
        <v>382</v>
      </c>
      <c r="E96" s="4" t="s">
        <v>197</v>
      </c>
      <c r="F96" s="18" t="s">
        <v>102</v>
      </c>
      <c r="G96" s="10" t="n">
        <v>12360.3</v>
      </c>
      <c r="H96" s="10" t="n">
        <v>242.42</v>
      </c>
      <c r="I96" s="10" t="n">
        <v>12117.88</v>
      </c>
      <c r="J96" s="10" t="n">
        <f aca="false">ROUND(G96-H96-I96, 2)</f>
        <v>0</v>
      </c>
    </row>
    <row r="97" customFormat="false" ht="18.75" hidden="false" customHeight="true" outlineLevel="0" collapsed="false">
      <c r="A97" s="7" t="s">
        <v>383</v>
      </c>
      <c r="B97" s="7" t="s">
        <v>384</v>
      </c>
      <c r="C97" s="7" t="s">
        <v>200</v>
      </c>
      <c r="D97" s="7" t="s">
        <v>385</v>
      </c>
      <c r="E97" s="7" t="s">
        <v>202</v>
      </c>
      <c r="F97" s="19" t="s">
        <v>102</v>
      </c>
      <c r="G97" s="12" t="n">
        <v>12533.59</v>
      </c>
      <c r="H97" s="12" t="n">
        <v>275.97</v>
      </c>
      <c r="I97" s="12" t="n">
        <v>12257.62</v>
      </c>
      <c r="J97" s="12" t="n">
        <f aca="false">ROUND(G97-H97-I97, 2)</f>
        <v>0</v>
      </c>
    </row>
    <row r="98" customFormat="false" ht="18.75" hidden="false" customHeight="true" outlineLevel="0" collapsed="false">
      <c r="A98" s="4" t="s">
        <v>386</v>
      </c>
      <c r="B98" s="4" t="s">
        <v>387</v>
      </c>
      <c r="C98" s="4" t="s">
        <v>205</v>
      </c>
      <c r="D98" s="4" t="s">
        <v>388</v>
      </c>
      <c r="E98" s="4" t="s">
        <v>207</v>
      </c>
      <c r="F98" s="18" t="s">
        <v>102</v>
      </c>
      <c r="G98" s="10" t="n">
        <v>12706.88</v>
      </c>
      <c r="H98" s="10" t="n">
        <v>325.33</v>
      </c>
      <c r="I98" s="10" t="n">
        <v>12381.55</v>
      </c>
      <c r="J98" s="10" t="n">
        <f aca="false">ROUND(G98-H98-I98, 2)</f>
        <v>0</v>
      </c>
    </row>
    <row r="99" customFormat="false" ht="18.75" hidden="false" customHeight="true" outlineLevel="0" collapsed="false">
      <c r="A99" s="7" t="s">
        <v>389</v>
      </c>
      <c r="B99" s="7" t="s">
        <v>390</v>
      </c>
      <c r="C99" s="7" t="s">
        <v>210</v>
      </c>
      <c r="D99" s="7" t="s">
        <v>391</v>
      </c>
      <c r="E99" s="7" t="s">
        <v>212</v>
      </c>
      <c r="F99" s="19" t="s">
        <v>102</v>
      </c>
      <c r="G99" s="12" t="n">
        <v>12879.17</v>
      </c>
      <c r="H99" s="12" t="n">
        <v>244.93</v>
      </c>
      <c r="I99" s="12" t="n">
        <v>12634.24</v>
      </c>
      <c r="J99" s="12" t="n">
        <f aca="false">ROUND(G99-H99-I99, 2)</f>
        <v>0</v>
      </c>
    </row>
    <row r="100" customFormat="false" ht="18.75" hidden="false" customHeight="true" outlineLevel="0" collapsed="false">
      <c r="A100" s="4" t="s">
        <v>392</v>
      </c>
      <c r="B100" s="4" t="s">
        <v>393</v>
      </c>
      <c r="C100" s="4" t="s">
        <v>215</v>
      </c>
      <c r="D100" s="4" t="s">
        <v>394</v>
      </c>
      <c r="E100" s="4" t="s">
        <v>217</v>
      </c>
      <c r="F100" s="18" t="s">
        <v>102</v>
      </c>
      <c r="G100" s="10" t="n">
        <v>13052.46</v>
      </c>
      <c r="H100" s="10" t="n">
        <v>350.08</v>
      </c>
      <c r="I100" s="10" t="n">
        <v>12702.38</v>
      </c>
      <c r="J100" s="10" t="n">
        <f aca="false">ROUND(G100-H100-I100, 2)</f>
        <v>0</v>
      </c>
    </row>
    <row r="101" customFormat="false" ht="18.75" hidden="false" customHeight="true" outlineLevel="0" collapsed="false">
      <c r="A101" s="7" t="s">
        <v>395</v>
      </c>
      <c r="B101" s="7" t="s">
        <v>396</v>
      </c>
      <c r="C101" s="7" t="s">
        <v>220</v>
      </c>
      <c r="D101" s="7" t="s">
        <v>397</v>
      </c>
      <c r="E101" s="7" t="s">
        <v>222</v>
      </c>
      <c r="F101" s="19" t="s">
        <v>102</v>
      </c>
      <c r="G101" s="12" t="n">
        <v>13225.75</v>
      </c>
      <c r="H101" s="12" t="n">
        <v>235.87</v>
      </c>
      <c r="I101" s="12" t="n">
        <v>12989.88</v>
      </c>
      <c r="J101" s="12" t="n">
        <f aca="false">ROUND(G101-H101-I101, 2)</f>
        <v>0</v>
      </c>
    </row>
    <row r="102" customFormat="false" ht="18.75" hidden="false" customHeight="true" outlineLevel="0" collapsed="false">
      <c r="A102" s="4" t="s">
        <v>398</v>
      </c>
      <c r="B102" s="4" t="s">
        <v>399</v>
      </c>
      <c r="C102" s="4" t="s">
        <v>99</v>
      </c>
      <c r="D102" s="4" t="s">
        <v>400</v>
      </c>
      <c r="E102" s="4" t="s">
        <v>226</v>
      </c>
      <c r="F102" s="18" t="s">
        <v>102</v>
      </c>
      <c r="G102" s="10" t="n">
        <v>13398.04</v>
      </c>
      <c r="H102" s="10" t="n">
        <v>286.93</v>
      </c>
      <c r="I102" s="10" t="n">
        <v>13111.11</v>
      </c>
      <c r="J102" s="10" t="n">
        <f aca="false">ROUND(G102-H102-I102, 2)</f>
        <v>0</v>
      </c>
    </row>
    <row r="103" customFormat="false" ht="18.75" hidden="false" customHeight="true" outlineLevel="0" collapsed="false">
      <c r="A103" s="7" t="s">
        <v>401</v>
      </c>
      <c r="B103" s="7" t="s">
        <v>402</v>
      </c>
      <c r="C103" s="7" t="s">
        <v>105</v>
      </c>
      <c r="D103" s="7" t="s">
        <v>403</v>
      </c>
      <c r="E103" s="7" t="s">
        <v>230</v>
      </c>
      <c r="F103" s="19" t="s">
        <v>102</v>
      </c>
      <c r="G103" s="12" t="n">
        <v>13571.33</v>
      </c>
      <c r="H103" s="12" t="n">
        <v>225.97</v>
      </c>
      <c r="I103" s="12" t="n">
        <v>13345.36</v>
      </c>
      <c r="J103" s="12" t="n">
        <f aca="false">ROUND(G103-H103-I103, 2)</f>
        <v>0</v>
      </c>
    </row>
    <row r="104" customFormat="false" ht="18.75" hidden="false" customHeight="true" outlineLevel="0" collapsed="false">
      <c r="A104" s="4" t="s">
        <v>404</v>
      </c>
      <c r="B104" s="4" t="s">
        <v>405</v>
      </c>
      <c r="C104" s="4" t="s">
        <v>110</v>
      </c>
      <c r="D104" s="4" t="s">
        <v>406</v>
      </c>
      <c r="E104" s="4" t="s">
        <v>234</v>
      </c>
      <c r="F104" s="18" t="s">
        <v>102</v>
      </c>
      <c r="G104" s="10" t="n">
        <v>13744.62</v>
      </c>
      <c r="H104" s="10" t="n">
        <v>360.35</v>
      </c>
      <c r="I104" s="10" t="n">
        <v>13384.27</v>
      </c>
      <c r="J104" s="10" t="n">
        <f aca="false">ROUND(G104-H104-I104, 2)</f>
        <v>0</v>
      </c>
    </row>
    <row r="105" customFormat="false" ht="18.75" hidden="false" customHeight="true" outlineLevel="0" collapsed="false">
      <c r="A105" s="7" t="s">
        <v>407</v>
      </c>
      <c r="B105" s="7" t="s">
        <v>408</v>
      </c>
      <c r="C105" s="7" t="s">
        <v>115</v>
      </c>
      <c r="D105" s="7" t="s">
        <v>409</v>
      </c>
      <c r="E105" s="7" t="s">
        <v>238</v>
      </c>
      <c r="F105" s="19" t="s">
        <v>102</v>
      </c>
      <c r="G105" s="12" t="n">
        <v>13917.91</v>
      </c>
      <c r="H105" s="12" t="n">
        <v>289.76</v>
      </c>
      <c r="I105" s="12" t="n">
        <v>13628.15</v>
      </c>
      <c r="J105" s="12" t="n">
        <f aca="false">ROUND(G105-H105-I105, 2)</f>
        <v>0</v>
      </c>
    </row>
    <row r="106" customFormat="false" ht="18.75" hidden="false" customHeight="true" outlineLevel="0" collapsed="false">
      <c r="A106" s="4" t="s">
        <v>410</v>
      </c>
      <c r="B106" s="4" t="s">
        <v>411</v>
      </c>
      <c r="C106" s="4" t="s">
        <v>120</v>
      </c>
      <c r="D106" s="4" t="s">
        <v>412</v>
      </c>
      <c r="E106" s="4" t="s">
        <v>242</v>
      </c>
      <c r="F106" s="18" t="s">
        <v>102</v>
      </c>
      <c r="G106" s="10" t="n">
        <v>14090.2</v>
      </c>
      <c r="H106" s="10" t="n">
        <v>335.47</v>
      </c>
      <c r="I106" s="10" t="n">
        <v>13754.73</v>
      </c>
      <c r="J106" s="10" t="n">
        <f aca="false">ROUND(G106-H106-I106, 2)</f>
        <v>0</v>
      </c>
    </row>
    <row r="107" customFormat="false" ht="18.75" hidden="false" customHeight="true" outlineLevel="0" collapsed="false">
      <c r="A107" s="7" t="s">
        <v>413</v>
      </c>
      <c r="B107" s="7" t="s">
        <v>414</v>
      </c>
      <c r="C107" s="7" t="s">
        <v>125</v>
      </c>
      <c r="D107" s="7" t="s">
        <v>415</v>
      </c>
      <c r="E107" s="7" t="s">
        <v>246</v>
      </c>
      <c r="F107" s="19" t="s">
        <v>102</v>
      </c>
      <c r="G107" s="12" t="n">
        <v>14263.49</v>
      </c>
      <c r="H107" s="12" t="n">
        <v>322.15</v>
      </c>
      <c r="I107" s="12" t="n">
        <v>13941.34</v>
      </c>
      <c r="J107" s="12" t="n">
        <f aca="false">ROUND(G107-H107-I107, 2)</f>
        <v>0</v>
      </c>
    </row>
    <row r="108" customFormat="false" ht="18.75" hidden="false" customHeight="true" outlineLevel="0" collapsed="false">
      <c r="A108" s="4" t="s">
        <v>416</v>
      </c>
      <c r="B108" s="4" t="s">
        <v>417</v>
      </c>
      <c r="C108" s="4" t="s">
        <v>130</v>
      </c>
      <c r="D108" s="4" t="s">
        <v>418</v>
      </c>
      <c r="E108" s="4" t="s">
        <v>250</v>
      </c>
      <c r="F108" s="18" t="s">
        <v>102</v>
      </c>
      <c r="G108" s="10" t="n">
        <v>14436.78</v>
      </c>
      <c r="H108" s="10" t="n">
        <v>257.3</v>
      </c>
      <c r="I108" s="10" t="n">
        <v>14179.48</v>
      </c>
      <c r="J108" s="10" t="n">
        <f aca="false">ROUND(G108-H108-I108, 2)</f>
        <v>0</v>
      </c>
    </row>
    <row r="109" customFormat="false" ht="18.75" hidden="false" customHeight="true" outlineLevel="0" collapsed="false">
      <c r="A109" s="7" t="s">
        <v>419</v>
      </c>
      <c r="B109" s="7" t="s">
        <v>420</v>
      </c>
      <c r="C109" s="7" t="s">
        <v>135</v>
      </c>
      <c r="D109" s="7" t="s">
        <v>421</v>
      </c>
      <c r="E109" s="7" t="s">
        <v>254</v>
      </c>
      <c r="F109" s="19" t="s">
        <v>102</v>
      </c>
      <c r="G109" s="12" t="n">
        <v>14609.07</v>
      </c>
      <c r="H109" s="12" t="n">
        <v>417.86</v>
      </c>
      <c r="I109" s="12" t="n">
        <v>14191.21</v>
      </c>
      <c r="J109" s="12" t="n">
        <f aca="false">ROUND(G109-H109-I109, 2)</f>
        <v>0</v>
      </c>
    </row>
    <row r="110" customFormat="false" ht="18.75" hidden="false" customHeight="true" outlineLevel="0" collapsed="false">
      <c r="A110" s="4" t="s">
        <v>422</v>
      </c>
      <c r="B110" s="4" t="s">
        <v>423</v>
      </c>
      <c r="C110" s="4" t="s">
        <v>140</v>
      </c>
      <c r="D110" s="4" t="s">
        <v>424</v>
      </c>
      <c r="E110" s="4" t="s">
        <v>258</v>
      </c>
      <c r="F110" s="18" t="s">
        <v>102</v>
      </c>
      <c r="G110" s="10" t="n">
        <v>14782.36</v>
      </c>
      <c r="H110" s="10" t="n">
        <v>236.66</v>
      </c>
      <c r="I110" s="10" t="n">
        <v>14545.7</v>
      </c>
      <c r="J110" s="10" t="n">
        <f aca="false">ROUND(G110-H110-I110, 2)</f>
        <v>0</v>
      </c>
    </row>
    <row r="111" customFormat="false" ht="18.75" hidden="false" customHeight="true" outlineLevel="0" collapsed="false">
      <c r="A111" s="7" t="s">
        <v>425</v>
      </c>
      <c r="B111" s="7" t="s">
        <v>426</v>
      </c>
      <c r="C111" s="7" t="s">
        <v>145</v>
      </c>
      <c r="D111" s="7" t="s">
        <v>427</v>
      </c>
      <c r="E111" s="7" t="s">
        <v>262</v>
      </c>
      <c r="F111" s="19" t="s">
        <v>102</v>
      </c>
      <c r="G111" s="12" t="n">
        <v>14955.65</v>
      </c>
      <c r="H111" s="12" t="n">
        <v>372.96</v>
      </c>
      <c r="I111" s="12" t="n">
        <v>14582.69</v>
      </c>
      <c r="J111" s="12" t="n">
        <f aca="false">ROUND(G111-H111-I111, 2)</f>
        <v>0</v>
      </c>
    </row>
    <row r="112" customFormat="false" ht="18.75" hidden="false" customHeight="true" outlineLevel="0" collapsed="false">
      <c r="A112" s="4" t="s">
        <v>428</v>
      </c>
      <c r="B112" s="4" t="s">
        <v>429</v>
      </c>
      <c r="C112" s="4" t="s">
        <v>150</v>
      </c>
      <c r="D112" s="4" t="s">
        <v>430</v>
      </c>
      <c r="E112" s="4" t="s">
        <v>266</v>
      </c>
      <c r="F112" s="18" t="s">
        <v>102</v>
      </c>
      <c r="G112" s="10" t="n">
        <v>15128.94</v>
      </c>
      <c r="H112" s="10" t="n">
        <v>332.63</v>
      </c>
      <c r="I112" s="10" t="n">
        <v>14796.31</v>
      </c>
      <c r="J112" s="10" t="n">
        <f aca="false">ROUND(G112-H112-I112, 2)</f>
        <v>0</v>
      </c>
    </row>
    <row r="113" customFormat="false" ht="18.75" hidden="false" customHeight="true" outlineLevel="0" collapsed="false">
      <c r="A113" s="7" t="s">
        <v>431</v>
      </c>
      <c r="B113" s="7" t="s">
        <v>432</v>
      </c>
      <c r="C113" s="7" t="s">
        <v>155</v>
      </c>
      <c r="D113" s="7" t="s">
        <v>433</v>
      </c>
      <c r="E113" s="7" t="s">
        <v>270</v>
      </c>
      <c r="F113" s="19" t="s">
        <v>102</v>
      </c>
      <c r="G113" s="12" t="n">
        <v>15301.23</v>
      </c>
      <c r="H113" s="12" t="n">
        <v>290.66</v>
      </c>
      <c r="I113" s="12" t="n">
        <v>15010.57</v>
      </c>
      <c r="J113" s="12" t="n">
        <f aca="false">ROUND(G113-H113-I113, 2)</f>
        <v>0</v>
      </c>
    </row>
    <row r="114" customFormat="false" ht="18.75" hidden="false" customHeight="true" outlineLevel="0" collapsed="false">
      <c r="A114" s="4" t="s">
        <v>434</v>
      </c>
      <c r="B114" s="4" t="s">
        <v>435</v>
      </c>
      <c r="C114" s="4" t="s">
        <v>160</v>
      </c>
      <c r="D114" s="4" t="s">
        <v>436</v>
      </c>
      <c r="E114" s="4" t="s">
        <v>274</v>
      </c>
      <c r="F114" s="18" t="s">
        <v>102</v>
      </c>
      <c r="G114" s="10" t="n">
        <v>15474.52</v>
      </c>
      <c r="H114" s="10" t="n">
        <v>359.02</v>
      </c>
      <c r="I114" s="10" t="n">
        <v>15115.5</v>
      </c>
      <c r="J114" s="10" t="n">
        <f aca="false">ROUND(G114-H114-I114, 2)</f>
        <v>0</v>
      </c>
    </row>
    <row r="115" customFormat="false" ht="18.75" hidden="false" customHeight="true" outlineLevel="0" collapsed="false">
      <c r="A115" s="7" t="s">
        <v>437</v>
      </c>
      <c r="B115" s="7" t="s">
        <v>438</v>
      </c>
      <c r="C115" s="7" t="s">
        <v>165</v>
      </c>
      <c r="D115" s="7" t="s">
        <v>439</v>
      </c>
      <c r="E115" s="7" t="s">
        <v>278</v>
      </c>
      <c r="F115" s="19" t="s">
        <v>102</v>
      </c>
      <c r="G115" s="12" t="n">
        <v>15647.81</v>
      </c>
      <c r="H115" s="12" t="n">
        <v>287.38</v>
      </c>
      <c r="I115" s="12" t="n">
        <v>15360.43</v>
      </c>
      <c r="J115" s="12" t="n">
        <f aca="false">ROUND(G115-H115-I115, 2)</f>
        <v>0</v>
      </c>
    </row>
    <row r="116" customFormat="false" ht="18.75" hidden="false" customHeight="true" outlineLevel="0" collapsed="false">
      <c r="A116" s="4" t="s">
        <v>440</v>
      </c>
      <c r="B116" s="4" t="s">
        <v>441</v>
      </c>
      <c r="C116" s="4" t="s">
        <v>170</v>
      </c>
      <c r="D116" s="4" t="s">
        <v>442</v>
      </c>
      <c r="E116" s="4" t="s">
        <v>282</v>
      </c>
      <c r="F116" s="18" t="s">
        <v>102</v>
      </c>
      <c r="G116" s="10" t="n">
        <v>15820.1</v>
      </c>
      <c r="H116" s="10" t="n">
        <v>470.23</v>
      </c>
      <c r="I116" s="10" t="n">
        <v>15349.87</v>
      </c>
      <c r="J116" s="10" t="n">
        <f aca="false">ROUND(G116-H116-I116, 2)</f>
        <v>0</v>
      </c>
    </row>
    <row r="117" customFormat="false" ht="18.75" hidden="false" customHeight="true" outlineLevel="0" collapsed="false">
      <c r="A117" s="7" t="s">
        <v>443</v>
      </c>
      <c r="B117" s="7" t="s">
        <v>444</v>
      </c>
      <c r="C117" s="7" t="s">
        <v>175</v>
      </c>
      <c r="D117" s="7" t="s">
        <v>445</v>
      </c>
      <c r="E117" s="7" t="s">
        <v>286</v>
      </c>
      <c r="F117" s="19" t="s">
        <v>102</v>
      </c>
      <c r="G117" s="12" t="n">
        <v>15993.39</v>
      </c>
      <c r="H117" s="12" t="n">
        <v>275.41</v>
      </c>
      <c r="I117" s="12" t="n">
        <v>15717.98</v>
      </c>
      <c r="J117" s="12" t="n">
        <f aca="false">ROUND(G117-H117-I117, 2)</f>
        <v>0</v>
      </c>
    </row>
    <row r="118" customFormat="false" ht="18.75" hidden="false" customHeight="true" outlineLevel="0" collapsed="false">
      <c r="A118" s="4" t="s">
        <v>446</v>
      </c>
      <c r="B118" s="4" t="s">
        <v>447</v>
      </c>
      <c r="C118" s="4" t="s">
        <v>180</v>
      </c>
      <c r="D118" s="4" t="s">
        <v>448</v>
      </c>
      <c r="E118" s="4" t="s">
        <v>290</v>
      </c>
      <c r="F118" s="18" t="s">
        <v>102</v>
      </c>
      <c r="G118" s="10" t="n">
        <v>16166.68</v>
      </c>
      <c r="H118" s="10" t="n">
        <v>394.03</v>
      </c>
      <c r="I118" s="10" t="n">
        <v>15772.65</v>
      </c>
      <c r="J118" s="10" t="n">
        <f aca="false">ROUND(G118-H118-I118, 2)</f>
        <v>0</v>
      </c>
    </row>
    <row r="119" customFormat="false" ht="18.75" hidden="false" customHeight="true" outlineLevel="0" collapsed="false">
      <c r="A119" s="7" t="s">
        <v>449</v>
      </c>
      <c r="B119" s="7" t="s">
        <v>450</v>
      </c>
      <c r="C119" s="7" t="s">
        <v>185</v>
      </c>
      <c r="D119" s="7" t="s">
        <v>451</v>
      </c>
      <c r="E119" s="7" t="s">
        <v>294</v>
      </c>
      <c r="F119" s="19" t="s">
        <v>102</v>
      </c>
      <c r="G119" s="12" t="n">
        <v>16339.97</v>
      </c>
      <c r="H119" s="12" t="n">
        <v>447.01</v>
      </c>
      <c r="I119" s="12" t="n">
        <v>15892.96</v>
      </c>
      <c r="J119" s="12" t="n">
        <f aca="false">ROUND(G119-H119-I119, 2)</f>
        <v>0</v>
      </c>
    </row>
    <row r="120" customFormat="false" ht="18.75" hidden="false" customHeight="true" outlineLevel="0" collapsed="false">
      <c r="A120" s="4" t="s">
        <v>452</v>
      </c>
      <c r="B120" s="4" t="s">
        <v>453</v>
      </c>
      <c r="C120" s="4" t="s">
        <v>190</v>
      </c>
      <c r="D120" s="4" t="s">
        <v>454</v>
      </c>
      <c r="E120" s="4" t="s">
        <v>298</v>
      </c>
      <c r="F120" s="18" t="s">
        <v>102</v>
      </c>
      <c r="G120" s="10" t="n">
        <v>16512.26</v>
      </c>
      <c r="H120" s="10" t="n">
        <v>333.6</v>
      </c>
      <c r="I120" s="10" t="n">
        <v>16178.66</v>
      </c>
      <c r="J120" s="10" t="n">
        <f aca="false">ROUND(G120-H120-I120, 2)</f>
        <v>0</v>
      </c>
    </row>
    <row r="121" customFormat="false" ht="18.75" hidden="false" customHeight="true" outlineLevel="0" collapsed="false">
      <c r="A121" s="7" t="s">
        <v>455</v>
      </c>
      <c r="B121" s="7" t="s">
        <v>456</v>
      </c>
      <c r="C121" s="7" t="s">
        <v>195</v>
      </c>
      <c r="D121" s="7" t="s">
        <v>457</v>
      </c>
      <c r="E121" s="7" t="s">
        <v>302</v>
      </c>
      <c r="F121" s="19" t="s">
        <v>102</v>
      </c>
      <c r="G121" s="12" t="n">
        <v>16685.55</v>
      </c>
      <c r="H121" s="12" t="n">
        <v>326.64</v>
      </c>
      <c r="I121" s="12" t="n">
        <v>16358.91</v>
      </c>
      <c r="J121" s="12" t="n">
        <f aca="false">ROUND(G121-H121-I121, 2)</f>
        <v>0</v>
      </c>
    </row>
    <row r="122" customFormat="false" ht="18.75" hidden="false" customHeight="true" outlineLevel="0" collapsed="false">
      <c r="A122" s="4" t="s">
        <v>458</v>
      </c>
      <c r="B122" s="4" t="s">
        <v>459</v>
      </c>
      <c r="C122" s="4" t="s">
        <v>200</v>
      </c>
      <c r="D122" s="4" t="s">
        <v>460</v>
      </c>
      <c r="E122" s="4" t="s">
        <v>306</v>
      </c>
      <c r="F122" s="18" t="s">
        <v>102</v>
      </c>
      <c r="G122" s="10" t="n">
        <v>16858.84</v>
      </c>
      <c r="H122" s="10" t="n">
        <v>370.39</v>
      </c>
      <c r="I122" s="10" t="n">
        <v>16488.45</v>
      </c>
      <c r="J122" s="10" t="n">
        <f aca="false">ROUND(G122-H122-I122, 2)</f>
        <v>0</v>
      </c>
    </row>
    <row r="123" customFormat="false" ht="18.75" hidden="false" customHeight="true" outlineLevel="0" collapsed="false">
      <c r="A123" s="7" t="s">
        <v>461</v>
      </c>
      <c r="B123" s="7" t="s">
        <v>462</v>
      </c>
      <c r="C123" s="7" t="s">
        <v>205</v>
      </c>
      <c r="D123" s="7" t="s">
        <v>463</v>
      </c>
      <c r="E123" s="7" t="s">
        <v>310</v>
      </c>
      <c r="F123" s="19" t="s">
        <v>102</v>
      </c>
      <c r="G123" s="12" t="n">
        <v>17031.13</v>
      </c>
      <c r="H123" s="12" t="n">
        <v>435.03</v>
      </c>
      <c r="I123" s="12" t="n">
        <v>16596.1</v>
      </c>
      <c r="J123" s="12" t="n">
        <f aca="false">ROUND(G123-H123-I123, 2)</f>
        <v>0</v>
      </c>
    </row>
    <row r="124" customFormat="false" ht="18.75" hidden="false" customHeight="true" outlineLevel="0" collapsed="false">
      <c r="A124" s="4" t="s">
        <v>464</v>
      </c>
      <c r="B124" s="4" t="s">
        <v>465</v>
      </c>
      <c r="C124" s="4" t="s">
        <v>210</v>
      </c>
      <c r="D124" s="4" t="s">
        <v>466</v>
      </c>
      <c r="E124" s="4" t="s">
        <v>314</v>
      </c>
      <c r="F124" s="18" t="s">
        <v>102</v>
      </c>
      <c r="G124" s="10" t="n">
        <v>17204.42</v>
      </c>
      <c r="H124" s="10" t="n">
        <v>326.59</v>
      </c>
      <c r="I124" s="10" t="n">
        <v>16877.83</v>
      </c>
      <c r="J124" s="10" t="n">
        <f aca="false">ROUND(G124-H124-I124, 2)</f>
        <v>0</v>
      </c>
    </row>
    <row r="125" customFormat="false" ht="18.75" hidden="false" customHeight="true" outlineLevel="0" collapsed="false">
      <c r="A125" s="7" t="s">
        <v>467</v>
      </c>
      <c r="B125" s="7" t="s">
        <v>468</v>
      </c>
      <c r="C125" s="7" t="s">
        <v>215</v>
      </c>
      <c r="D125" s="7" t="s">
        <v>469</v>
      </c>
      <c r="E125" s="7" t="s">
        <v>318</v>
      </c>
      <c r="F125" s="19" t="s">
        <v>102</v>
      </c>
      <c r="G125" s="12" t="n">
        <v>17377.71</v>
      </c>
      <c r="H125" s="12" t="n">
        <v>464.92</v>
      </c>
      <c r="I125" s="12" t="n">
        <v>16912.79</v>
      </c>
      <c r="J125" s="12" t="n">
        <f aca="false">ROUND(G125-H125-I125, 2)</f>
        <v>0</v>
      </c>
    </row>
    <row r="126" customFormat="false" ht="18.75" hidden="false" customHeight="true" outlineLevel="0" collapsed="false">
      <c r="A126" s="4" t="s">
        <v>470</v>
      </c>
      <c r="B126" s="4" t="s">
        <v>471</v>
      </c>
      <c r="C126" s="4" t="s">
        <v>220</v>
      </c>
      <c r="D126" s="4" t="s">
        <v>472</v>
      </c>
      <c r="E126" s="4" t="s">
        <v>322</v>
      </c>
      <c r="F126" s="18" t="s">
        <v>102</v>
      </c>
      <c r="G126" s="10" t="n">
        <v>17550</v>
      </c>
      <c r="H126" s="10" t="n">
        <v>312.41</v>
      </c>
      <c r="I126" s="10" t="n">
        <v>17237.59</v>
      </c>
      <c r="J126" s="10" t="n">
        <f aca="false">ROUND(G126-H126-I126, 2)</f>
        <v>0</v>
      </c>
    </row>
    <row r="127" customFormat="false" ht="18.75" hidden="false" customHeight="true" outlineLevel="0" collapsed="false">
      <c r="A127" s="7" t="s">
        <v>473</v>
      </c>
      <c r="B127" s="7" t="s">
        <v>474</v>
      </c>
      <c r="C127" s="7" t="s">
        <v>99</v>
      </c>
      <c r="D127" s="7" t="s">
        <v>475</v>
      </c>
      <c r="E127" s="7" t="s">
        <v>101</v>
      </c>
      <c r="F127" s="19" t="s">
        <v>102</v>
      </c>
      <c r="G127" s="12" t="n">
        <v>17723.29</v>
      </c>
      <c r="H127" s="12" t="n">
        <v>378.8</v>
      </c>
      <c r="I127" s="12" t="n">
        <v>17344.49</v>
      </c>
      <c r="J127" s="12" t="n">
        <f aca="false">ROUND(G127-H127-I127, 2)</f>
        <v>0</v>
      </c>
    </row>
    <row r="128" customFormat="false" ht="18.75" hidden="false" customHeight="true" outlineLevel="0" collapsed="false">
      <c r="A128" s="4" t="s">
        <v>476</v>
      </c>
      <c r="B128" s="4" t="s">
        <v>477</v>
      </c>
      <c r="C128" s="4" t="s">
        <v>105</v>
      </c>
      <c r="D128" s="4" t="s">
        <v>478</v>
      </c>
      <c r="E128" s="4" t="s">
        <v>107</v>
      </c>
      <c r="F128" s="18" t="s">
        <v>102</v>
      </c>
      <c r="G128" s="10" t="n">
        <v>17896.58</v>
      </c>
      <c r="H128" s="10" t="n">
        <v>297.42</v>
      </c>
      <c r="I128" s="10" t="n">
        <v>17599.16</v>
      </c>
      <c r="J128" s="10" t="n">
        <f aca="false">ROUND(G128-H128-I128, 2)</f>
        <v>0</v>
      </c>
    </row>
    <row r="129" customFormat="false" ht="18.75" hidden="false" customHeight="true" outlineLevel="0" collapsed="false">
      <c r="A129" s="7" t="s">
        <v>479</v>
      </c>
      <c r="B129" s="7" t="s">
        <v>480</v>
      </c>
      <c r="C129" s="7" t="s">
        <v>110</v>
      </c>
      <c r="D129" s="7" t="s">
        <v>481</v>
      </c>
      <c r="E129" s="7" t="s">
        <v>112</v>
      </c>
      <c r="F129" s="19" t="s">
        <v>102</v>
      </c>
      <c r="G129" s="12" t="n">
        <v>18069.87</v>
      </c>
      <c r="H129" s="12" t="n">
        <v>472.64</v>
      </c>
      <c r="I129" s="12" t="n">
        <v>17597.23</v>
      </c>
      <c r="J129" s="12" t="n">
        <f aca="false">ROUND(G129-H129-I129, 2)</f>
        <v>0</v>
      </c>
    </row>
    <row r="130" customFormat="false" ht="18.75" hidden="false" customHeight="true" outlineLevel="0" collapsed="false">
      <c r="A130" s="4" t="s">
        <v>482</v>
      </c>
      <c r="B130" s="4" t="s">
        <v>483</v>
      </c>
      <c r="C130" s="4" t="s">
        <v>115</v>
      </c>
      <c r="D130" s="4" t="s">
        <v>484</v>
      </c>
      <c r="E130" s="4" t="s">
        <v>117</v>
      </c>
      <c r="F130" s="18" t="s">
        <v>102</v>
      </c>
      <c r="G130" s="10" t="n">
        <v>18242.16</v>
      </c>
      <c r="H130" s="10" t="n">
        <v>379.06</v>
      </c>
      <c r="I130" s="10" t="n">
        <v>17863.1</v>
      </c>
      <c r="J130" s="10" t="n">
        <f aca="false">ROUND(G130-H130-I130, 2)</f>
        <v>0</v>
      </c>
    </row>
    <row r="131" customFormat="false" ht="18.75" hidden="false" customHeight="true" outlineLevel="0" collapsed="false">
      <c r="A131" s="7" t="s">
        <v>485</v>
      </c>
      <c r="B131" s="7" t="s">
        <v>486</v>
      </c>
      <c r="C131" s="7" t="s">
        <v>120</v>
      </c>
      <c r="D131" s="7" t="s">
        <v>487</v>
      </c>
      <c r="E131" s="7" t="s">
        <v>122</v>
      </c>
      <c r="F131" s="19" t="s">
        <v>102</v>
      </c>
      <c r="G131" s="12" t="n">
        <v>18415.45</v>
      </c>
      <c r="H131" s="12" t="n">
        <v>437.56</v>
      </c>
      <c r="I131" s="12" t="n">
        <v>17977.89</v>
      </c>
      <c r="J131" s="12" t="n">
        <f aca="false">ROUND(G131-H131-I131, 2)</f>
        <v>0</v>
      </c>
    </row>
    <row r="132" customFormat="false" ht="18.75" hidden="false" customHeight="true" outlineLevel="0" collapsed="false">
      <c r="A132" s="4" t="s">
        <v>488</v>
      </c>
      <c r="B132" s="4" t="s">
        <v>489</v>
      </c>
      <c r="C132" s="4" t="s">
        <v>125</v>
      </c>
      <c r="D132" s="4" t="s">
        <v>490</v>
      </c>
      <c r="E132" s="4" t="s">
        <v>127</v>
      </c>
      <c r="F132" s="18" t="s">
        <v>102</v>
      </c>
      <c r="G132" s="10" t="n">
        <v>338.74</v>
      </c>
      <c r="H132" s="10" t="n">
        <v>9.96</v>
      </c>
      <c r="I132" s="10" t="n">
        <v>328.78</v>
      </c>
      <c r="J132" s="10" t="n">
        <f aca="false">ROUND(G132-H132-I132, 2)</f>
        <v>0</v>
      </c>
    </row>
    <row r="133" customFormat="false" ht="18.75" hidden="false" customHeight="true" outlineLevel="0" collapsed="false">
      <c r="A133" s="7" t="s">
        <v>491</v>
      </c>
      <c r="B133" s="7" t="s">
        <v>492</v>
      </c>
      <c r="C133" s="7" t="s">
        <v>130</v>
      </c>
      <c r="D133" s="7" t="s">
        <v>493</v>
      </c>
      <c r="E133" s="7" t="s">
        <v>132</v>
      </c>
      <c r="F133" s="19" t="s">
        <v>102</v>
      </c>
      <c r="G133" s="12" t="n">
        <v>511.03</v>
      </c>
      <c r="H133" s="12" t="n">
        <v>10.82</v>
      </c>
      <c r="I133" s="12" t="n">
        <v>500.21</v>
      </c>
      <c r="J133" s="12" t="n">
        <f aca="false">ROUND(G133-H133-I133, 2)</f>
        <v>0</v>
      </c>
    </row>
    <row r="134" customFormat="false" ht="18.75" hidden="false" customHeight="true" outlineLevel="0" collapsed="false">
      <c r="A134" s="4" t="s">
        <v>494</v>
      </c>
      <c r="B134" s="4" t="s">
        <v>495</v>
      </c>
      <c r="C134" s="4" t="s">
        <v>135</v>
      </c>
      <c r="D134" s="4" t="s">
        <v>496</v>
      </c>
      <c r="E134" s="4" t="s">
        <v>137</v>
      </c>
      <c r="F134" s="18" t="s">
        <v>102</v>
      </c>
      <c r="G134" s="10" t="n">
        <v>684.32</v>
      </c>
      <c r="H134" s="10" t="n">
        <v>23.51</v>
      </c>
      <c r="I134" s="10" t="n">
        <v>660.81</v>
      </c>
      <c r="J134" s="10" t="n">
        <f aca="false">ROUND(G134-H134-I134, 2)</f>
        <v>0</v>
      </c>
    </row>
    <row r="135" customFormat="false" ht="18.75" hidden="false" customHeight="true" outlineLevel="0" collapsed="false">
      <c r="A135" s="7" t="s">
        <v>497</v>
      </c>
      <c r="B135" s="7" t="s">
        <v>498</v>
      </c>
      <c r="C135" s="7" t="s">
        <v>140</v>
      </c>
      <c r="D135" s="7" t="s">
        <v>499</v>
      </c>
      <c r="E135" s="7" t="s">
        <v>142</v>
      </c>
      <c r="F135" s="19" t="s">
        <v>102</v>
      </c>
      <c r="G135" s="12" t="n">
        <v>857.61</v>
      </c>
      <c r="H135" s="12" t="n">
        <v>14.84</v>
      </c>
      <c r="I135" s="12" t="n">
        <v>842.77</v>
      </c>
      <c r="J135" s="12" t="n">
        <f aca="false">ROUND(G135-H135-I135, 2)</f>
        <v>0</v>
      </c>
    </row>
    <row r="136" customFormat="false" ht="18.75" hidden="false" customHeight="true" outlineLevel="0" collapsed="false">
      <c r="A136" s="4" t="s">
        <v>500</v>
      </c>
      <c r="B136" s="4" t="s">
        <v>501</v>
      </c>
      <c r="C136" s="4" t="s">
        <v>145</v>
      </c>
      <c r="D136" s="4" t="s">
        <v>502</v>
      </c>
      <c r="E136" s="4" t="s">
        <v>147</v>
      </c>
      <c r="F136" s="18" t="s">
        <v>102</v>
      </c>
      <c r="G136" s="10" t="n">
        <v>1030.9</v>
      </c>
      <c r="H136" s="10" t="n">
        <v>27.91</v>
      </c>
      <c r="I136" s="10" t="n">
        <v>1002.99</v>
      </c>
      <c r="J136" s="10" t="n">
        <f aca="false">ROUND(G136-H136-I136, 2)</f>
        <v>0</v>
      </c>
    </row>
    <row r="137" customFormat="false" ht="18.75" hidden="false" customHeight="true" outlineLevel="0" collapsed="false">
      <c r="A137" s="7" t="s">
        <v>503</v>
      </c>
      <c r="B137" s="7" t="s">
        <v>504</v>
      </c>
      <c r="C137" s="7" t="s">
        <v>150</v>
      </c>
      <c r="D137" s="7" t="s">
        <v>505</v>
      </c>
      <c r="E137" s="7" t="s">
        <v>152</v>
      </c>
      <c r="F137" s="19" t="s">
        <v>102</v>
      </c>
      <c r="G137" s="12" t="n">
        <v>1203.19</v>
      </c>
      <c r="H137" s="12" t="n">
        <v>28.63</v>
      </c>
      <c r="I137" s="12" t="n">
        <v>1174.56</v>
      </c>
      <c r="J137" s="12" t="n">
        <f aca="false">ROUND(G137-H137-I137, 2)</f>
        <v>0</v>
      </c>
    </row>
    <row r="138" customFormat="false" ht="18.75" hidden="false" customHeight="true" outlineLevel="0" collapsed="false">
      <c r="A138" s="4" t="s">
        <v>506</v>
      </c>
      <c r="B138" s="4" t="s">
        <v>507</v>
      </c>
      <c r="C138" s="4" t="s">
        <v>155</v>
      </c>
      <c r="D138" s="4" t="s">
        <v>508</v>
      </c>
      <c r="E138" s="4" t="s">
        <v>157</v>
      </c>
      <c r="F138" s="18" t="s">
        <v>102</v>
      </c>
      <c r="G138" s="10" t="n">
        <v>1376.48</v>
      </c>
      <c r="H138" s="10" t="n">
        <v>27.75</v>
      </c>
      <c r="I138" s="10" t="n">
        <v>1348.73</v>
      </c>
      <c r="J138" s="10" t="n">
        <f aca="false">ROUND(G138-H138-I138, 2)</f>
        <v>0</v>
      </c>
    </row>
    <row r="139" customFormat="false" ht="18.75" hidden="false" customHeight="true" outlineLevel="0" collapsed="false">
      <c r="A139" s="7" t="s">
        <v>509</v>
      </c>
      <c r="B139" s="7" t="s">
        <v>510</v>
      </c>
      <c r="C139" s="7" t="s">
        <v>160</v>
      </c>
      <c r="D139" s="7" t="s">
        <v>511</v>
      </c>
      <c r="E139" s="7" t="s">
        <v>162</v>
      </c>
      <c r="F139" s="19" t="s">
        <v>102</v>
      </c>
      <c r="G139" s="12" t="n">
        <v>1549.77</v>
      </c>
      <c r="H139" s="12" t="n">
        <v>38.61</v>
      </c>
      <c r="I139" s="12" t="n">
        <v>1511.16</v>
      </c>
      <c r="J139" s="12" t="n">
        <f aca="false">ROUND(G139-H139-I139, 2)</f>
        <v>0</v>
      </c>
    </row>
    <row r="140" customFormat="false" ht="18.75" hidden="false" customHeight="true" outlineLevel="0" collapsed="false">
      <c r="A140" s="4" t="s">
        <v>512</v>
      </c>
      <c r="B140" s="4" t="s">
        <v>513</v>
      </c>
      <c r="C140" s="4" t="s">
        <v>165</v>
      </c>
      <c r="D140" s="4" t="s">
        <v>514</v>
      </c>
      <c r="E140" s="4" t="s">
        <v>167</v>
      </c>
      <c r="F140" s="18" t="s">
        <v>102</v>
      </c>
      <c r="G140" s="10" t="n">
        <v>1722.06</v>
      </c>
      <c r="H140" s="10" t="n">
        <v>32.67</v>
      </c>
      <c r="I140" s="10" t="n">
        <v>1689.39</v>
      </c>
      <c r="J140" s="10" t="n">
        <f aca="false">ROUND(G140-H140-I140, 2)</f>
        <v>0</v>
      </c>
    </row>
    <row r="141" customFormat="false" ht="18.75" hidden="false" customHeight="true" outlineLevel="0" collapsed="false">
      <c r="A141" s="7" t="s">
        <v>515</v>
      </c>
      <c r="B141" s="7" t="s">
        <v>516</v>
      </c>
      <c r="C141" s="7" t="s">
        <v>170</v>
      </c>
      <c r="D141" s="7" t="s">
        <v>517</v>
      </c>
      <c r="E141" s="7" t="s">
        <v>172</v>
      </c>
      <c r="F141" s="19" t="s">
        <v>102</v>
      </c>
      <c r="G141" s="12" t="n">
        <v>1895.35</v>
      </c>
      <c r="H141" s="12" t="n">
        <v>59.45</v>
      </c>
      <c r="I141" s="12" t="n">
        <v>1835.9</v>
      </c>
      <c r="J141" s="12" t="n">
        <f aca="false">ROUND(G141-H141-I141, 2)</f>
        <v>0</v>
      </c>
    </row>
    <row r="142" customFormat="false" ht="18.75" hidden="false" customHeight="true" outlineLevel="0" collapsed="false">
      <c r="A142" s="4" t="s">
        <v>518</v>
      </c>
      <c r="B142" s="4" t="s">
        <v>519</v>
      </c>
      <c r="C142" s="4" t="s">
        <v>175</v>
      </c>
      <c r="D142" s="4" t="s">
        <v>520</v>
      </c>
      <c r="E142" s="4" t="s">
        <v>177</v>
      </c>
      <c r="F142" s="18" t="s">
        <v>102</v>
      </c>
      <c r="G142" s="10" t="n">
        <v>2068.64</v>
      </c>
      <c r="H142" s="10" t="n">
        <v>37.17</v>
      </c>
      <c r="I142" s="10" t="n">
        <v>2031.47</v>
      </c>
      <c r="J142" s="10" t="n">
        <f aca="false">ROUND(G142-H142-I142, 2)</f>
        <v>0</v>
      </c>
    </row>
    <row r="143" customFormat="false" ht="18.75" hidden="false" customHeight="true" outlineLevel="0" collapsed="false">
      <c r="A143" s="7" t="s">
        <v>521</v>
      </c>
      <c r="B143" s="7" t="s">
        <v>522</v>
      </c>
      <c r="C143" s="7" t="s">
        <v>180</v>
      </c>
      <c r="D143" s="7" t="s">
        <v>523</v>
      </c>
      <c r="E143" s="7" t="s">
        <v>182</v>
      </c>
      <c r="F143" s="19" t="s">
        <v>102</v>
      </c>
      <c r="G143" s="12" t="n">
        <v>2241.93</v>
      </c>
      <c r="H143" s="12" t="n">
        <v>57.18</v>
      </c>
      <c r="I143" s="12" t="n">
        <v>2184.75</v>
      </c>
      <c r="J143" s="12" t="n">
        <f aca="false">ROUND(G143-H143-I143, 2)</f>
        <v>0</v>
      </c>
    </row>
    <row r="144" customFormat="false" ht="18.75" hidden="false" customHeight="true" outlineLevel="0" collapsed="false">
      <c r="A144" s="4" t="s">
        <v>524</v>
      </c>
      <c r="B144" s="4" t="s">
        <v>525</v>
      </c>
      <c r="C144" s="4" t="s">
        <v>185</v>
      </c>
      <c r="D144" s="4" t="s">
        <v>526</v>
      </c>
      <c r="E144" s="4" t="s">
        <v>187</v>
      </c>
      <c r="F144" s="18" t="s">
        <v>102</v>
      </c>
      <c r="G144" s="10" t="n">
        <v>2414.22</v>
      </c>
      <c r="H144" s="10" t="n">
        <v>69.07</v>
      </c>
      <c r="I144" s="10" t="n">
        <v>2345.15</v>
      </c>
      <c r="J144" s="10" t="n">
        <f aca="false">ROUND(G144-H144-I144, 2)</f>
        <v>0</v>
      </c>
    </row>
    <row r="145" customFormat="false" ht="18.75" hidden="false" customHeight="true" outlineLevel="0" collapsed="false">
      <c r="A145" s="7" t="s">
        <v>527</v>
      </c>
      <c r="B145" s="7" t="s">
        <v>528</v>
      </c>
      <c r="C145" s="7" t="s">
        <v>190</v>
      </c>
      <c r="D145" s="7" t="s">
        <v>529</v>
      </c>
      <c r="E145" s="7" t="s">
        <v>192</v>
      </c>
      <c r="F145" s="19" t="s">
        <v>102</v>
      </c>
      <c r="G145" s="12" t="n">
        <v>2587.51</v>
      </c>
      <c r="H145" s="12" t="n">
        <v>54.27</v>
      </c>
      <c r="I145" s="12" t="n">
        <v>2533.24</v>
      </c>
      <c r="J145" s="12" t="n">
        <f aca="false">ROUND(G145-H145-I145, 2)</f>
        <v>0</v>
      </c>
    </row>
    <row r="146" customFormat="false" ht="18.75" hidden="false" customHeight="true" outlineLevel="0" collapsed="false">
      <c r="A146" s="4" t="s">
        <v>530</v>
      </c>
      <c r="B146" s="4" t="s">
        <v>531</v>
      </c>
      <c r="C146" s="4" t="s">
        <v>195</v>
      </c>
      <c r="D146" s="4" t="s">
        <v>532</v>
      </c>
      <c r="E146" s="4" t="s">
        <v>197</v>
      </c>
      <c r="F146" s="18" t="s">
        <v>102</v>
      </c>
      <c r="G146" s="10" t="n">
        <v>2760.8</v>
      </c>
      <c r="H146" s="10" t="n">
        <v>55.52</v>
      </c>
      <c r="I146" s="10" t="n">
        <v>2705.28</v>
      </c>
      <c r="J146" s="10" t="n">
        <f aca="false">ROUND(G146-H146-I146, 2)</f>
        <v>0</v>
      </c>
    </row>
    <row r="147" customFormat="false" ht="18.75" hidden="false" customHeight="true" outlineLevel="0" collapsed="false">
      <c r="A147" s="7" t="s">
        <v>533</v>
      </c>
      <c r="B147" s="7" t="s">
        <v>534</v>
      </c>
      <c r="C147" s="7" t="s">
        <v>200</v>
      </c>
      <c r="D147" s="7" t="s">
        <v>535</v>
      </c>
      <c r="E147" s="7" t="s">
        <v>202</v>
      </c>
      <c r="F147" s="19" t="s">
        <v>102</v>
      </c>
      <c r="G147" s="12" t="n">
        <v>2933.09</v>
      </c>
      <c r="H147" s="12" t="n">
        <v>66.39</v>
      </c>
      <c r="I147" s="12" t="n">
        <v>2866.7</v>
      </c>
      <c r="J147" s="12" t="n">
        <f aca="false">ROUND(G147-H147-I147, 2)</f>
        <v>0</v>
      </c>
    </row>
    <row r="148" customFormat="false" ht="18.75" hidden="false" customHeight="true" outlineLevel="0" collapsed="false">
      <c r="A148" s="4" t="s">
        <v>536</v>
      </c>
      <c r="B148" s="4" t="s">
        <v>537</v>
      </c>
      <c r="C148" s="4" t="s">
        <v>205</v>
      </c>
      <c r="D148" s="4" t="s">
        <v>538</v>
      </c>
      <c r="E148" s="4" t="s">
        <v>207</v>
      </c>
      <c r="F148" s="18" t="s">
        <v>102</v>
      </c>
      <c r="G148" s="10" t="n">
        <v>3106.38</v>
      </c>
      <c r="H148" s="10" t="n">
        <v>81.76</v>
      </c>
      <c r="I148" s="10" t="n">
        <v>3024.62</v>
      </c>
      <c r="J148" s="10" t="n">
        <f aca="false">ROUND(G148-H148-I148, 2)</f>
        <v>0</v>
      </c>
    </row>
    <row r="149" customFormat="false" ht="18.75" hidden="false" customHeight="true" outlineLevel="0" collapsed="false">
      <c r="A149" s="7" t="s">
        <v>539</v>
      </c>
      <c r="B149" s="7" t="s">
        <v>540</v>
      </c>
      <c r="C149" s="7" t="s">
        <v>210</v>
      </c>
      <c r="D149" s="7" t="s">
        <v>541</v>
      </c>
      <c r="E149" s="7" t="s">
        <v>212</v>
      </c>
      <c r="F149" s="19" t="s">
        <v>102</v>
      </c>
      <c r="G149" s="12" t="n">
        <v>3279.67</v>
      </c>
      <c r="H149" s="12" t="n">
        <v>63.68</v>
      </c>
      <c r="I149" s="12" t="n">
        <v>3215.99</v>
      </c>
      <c r="J149" s="12" t="n">
        <f aca="false">ROUND(G149-H149-I149, 2)</f>
        <v>0</v>
      </c>
    </row>
    <row r="150" customFormat="false" ht="18.75" hidden="false" customHeight="true" outlineLevel="0" collapsed="false">
      <c r="A150" s="4" t="s">
        <v>542</v>
      </c>
      <c r="B150" s="4" t="s">
        <v>543</v>
      </c>
      <c r="C150" s="4" t="s">
        <v>215</v>
      </c>
      <c r="D150" s="4" t="s">
        <v>544</v>
      </c>
      <c r="E150" s="4" t="s">
        <v>217</v>
      </c>
      <c r="F150" s="18" t="s">
        <v>102</v>
      </c>
      <c r="G150" s="10" t="n">
        <v>3452.96</v>
      </c>
      <c r="H150" s="10" t="n">
        <v>95.21</v>
      </c>
      <c r="I150" s="10" t="n">
        <v>3357.75</v>
      </c>
      <c r="J150" s="10" t="n">
        <f aca="false">ROUND(G150-H150-I150, 2)</f>
        <v>0</v>
      </c>
    </row>
    <row r="151" customFormat="false" ht="18.75" hidden="false" customHeight="true" outlineLevel="0" collapsed="false">
      <c r="A151" s="7" t="s">
        <v>545</v>
      </c>
      <c r="B151" s="7" t="s">
        <v>546</v>
      </c>
      <c r="C151" s="7" t="s">
        <v>220</v>
      </c>
      <c r="D151" s="7" t="s">
        <v>547</v>
      </c>
      <c r="E151" s="7" t="s">
        <v>222</v>
      </c>
      <c r="F151" s="19" t="s">
        <v>102</v>
      </c>
      <c r="G151" s="12" t="n">
        <v>3625.25</v>
      </c>
      <c r="H151" s="12" t="n">
        <v>65.94</v>
      </c>
      <c r="I151" s="12" t="n">
        <v>3559.31</v>
      </c>
      <c r="J151" s="12" t="n">
        <f aca="false">ROUND(G151-H151-I151, 2)</f>
        <v>0</v>
      </c>
    </row>
    <row r="152" customFormat="false" ht="18.75" hidden="false" customHeight="true" outlineLevel="0" collapsed="false">
      <c r="A152" s="4" t="s">
        <v>548</v>
      </c>
      <c r="B152" s="4" t="s">
        <v>549</v>
      </c>
      <c r="C152" s="4" t="s">
        <v>99</v>
      </c>
      <c r="D152" s="4" t="s">
        <v>550</v>
      </c>
      <c r="E152" s="4" t="s">
        <v>226</v>
      </c>
      <c r="F152" s="18" t="s">
        <v>102</v>
      </c>
      <c r="G152" s="10" t="n">
        <v>3798.54</v>
      </c>
      <c r="H152" s="10" t="n">
        <v>83.04</v>
      </c>
      <c r="I152" s="10" t="n">
        <v>3715.5</v>
      </c>
      <c r="J152" s="10" t="n">
        <f aca="false">ROUND(G152-H152-I152, 2)</f>
        <v>0</v>
      </c>
    </row>
    <row r="153" customFormat="false" ht="18.75" hidden="false" customHeight="true" outlineLevel="0" collapsed="false">
      <c r="A153" s="7" t="s">
        <v>551</v>
      </c>
      <c r="B153" s="7" t="s">
        <v>552</v>
      </c>
      <c r="C153" s="7" t="s">
        <v>105</v>
      </c>
      <c r="D153" s="7" t="s">
        <v>553</v>
      </c>
      <c r="E153" s="7" t="s">
        <v>230</v>
      </c>
      <c r="F153" s="19" t="s">
        <v>102</v>
      </c>
      <c r="G153" s="12" t="n">
        <v>3971.83</v>
      </c>
      <c r="H153" s="12" t="n">
        <v>67.39</v>
      </c>
      <c r="I153" s="12" t="n">
        <v>3904.44</v>
      </c>
      <c r="J153" s="12" t="n">
        <f aca="false">ROUND(G153-H153-I153, 2)</f>
        <v>0</v>
      </c>
    </row>
    <row r="154" customFormat="false" ht="18.75" hidden="false" customHeight="true" outlineLevel="0" collapsed="false">
      <c r="A154" s="4" t="s">
        <v>554</v>
      </c>
      <c r="B154" s="4" t="s">
        <v>555</v>
      </c>
      <c r="C154" s="4" t="s">
        <v>110</v>
      </c>
      <c r="D154" s="4" t="s">
        <v>556</v>
      </c>
      <c r="E154" s="4" t="s">
        <v>234</v>
      </c>
      <c r="F154" s="18" t="s">
        <v>102</v>
      </c>
      <c r="G154" s="10" t="n">
        <v>4144.12</v>
      </c>
      <c r="H154" s="10" t="n">
        <v>111.12</v>
      </c>
      <c r="I154" s="10" t="n">
        <v>4033</v>
      </c>
      <c r="J154" s="10" t="n">
        <f aca="false">ROUND(G154-H154-I154, 2)</f>
        <v>0</v>
      </c>
    </row>
    <row r="155" customFormat="false" ht="18.75" hidden="false" customHeight="true" outlineLevel="0" collapsed="false">
      <c r="A155" s="7" t="s">
        <v>557</v>
      </c>
      <c r="B155" s="7" t="s">
        <v>558</v>
      </c>
      <c r="C155" s="7" t="s">
        <v>115</v>
      </c>
      <c r="D155" s="7" t="s">
        <v>559</v>
      </c>
      <c r="E155" s="7" t="s">
        <v>238</v>
      </c>
      <c r="F155" s="19" t="s">
        <v>102</v>
      </c>
      <c r="G155" s="12" t="n">
        <v>4317.41</v>
      </c>
      <c r="H155" s="12" t="n">
        <v>91.51</v>
      </c>
      <c r="I155" s="12" t="n">
        <v>4225.9</v>
      </c>
      <c r="J155" s="12" t="n">
        <f aca="false">ROUND(G155-H155-I155, 2)</f>
        <v>0</v>
      </c>
    </row>
    <row r="156" customFormat="false" ht="18.75" hidden="false" customHeight="true" outlineLevel="0" collapsed="false">
      <c r="A156" s="4" t="s">
        <v>560</v>
      </c>
      <c r="B156" s="4" t="s">
        <v>561</v>
      </c>
      <c r="C156" s="4" t="s">
        <v>120</v>
      </c>
      <c r="D156" s="4" t="s">
        <v>562</v>
      </c>
      <c r="E156" s="4" t="s">
        <v>242</v>
      </c>
      <c r="F156" s="18" t="s">
        <v>102</v>
      </c>
      <c r="G156" s="10" t="n">
        <v>4490.7</v>
      </c>
      <c r="H156" s="10" t="n">
        <v>108.93</v>
      </c>
      <c r="I156" s="10" t="n">
        <v>4381.77</v>
      </c>
      <c r="J156" s="10" t="n">
        <f aca="false">ROUND(G156-H156-I156, 2)</f>
        <v>0</v>
      </c>
    </row>
    <row r="157" customFormat="false" ht="18.75" hidden="false" customHeight="true" outlineLevel="0" collapsed="false">
      <c r="A157" s="7" t="s">
        <v>563</v>
      </c>
      <c r="B157" s="7" t="s">
        <v>564</v>
      </c>
      <c r="C157" s="7" t="s">
        <v>125</v>
      </c>
      <c r="D157" s="7" t="s">
        <v>565</v>
      </c>
      <c r="E157" s="7" t="s">
        <v>246</v>
      </c>
      <c r="F157" s="19" t="s">
        <v>102</v>
      </c>
      <c r="G157" s="12" t="n">
        <v>4663.99</v>
      </c>
      <c r="H157" s="12" t="n">
        <v>106.93</v>
      </c>
      <c r="I157" s="12" t="n">
        <v>4557.06</v>
      </c>
      <c r="J157" s="12" t="n">
        <f aca="false">ROUND(G157-H157-I157, 2)</f>
        <v>0</v>
      </c>
    </row>
    <row r="158" customFormat="false" ht="18.75" hidden="false" customHeight="true" outlineLevel="0" collapsed="false">
      <c r="A158" s="4" t="s">
        <v>566</v>
      </c>
      <c r="B158" s="4" t="s">
        <v>567</v>
      </c>
      <c r="C158" s="4" t="s">
        <v>130</v>
      </c>
      <c r="D158" s="4" t="s">
        <v>568</v>
      </c>
      <c r="E158" s="4" t="s">
        <v>250</v>
      </c>
      <c r="F158" s="18" t="s">
        <v>102</v>
      </c>
      <c r="G158" s="10" t="n">
        <v>4836.28</v>
      </c>
      <c r="H158" s="10" t="n">
        <v>87.37</v>
      </c>
      <c r="I158" s="10" t="n">
        <v>4748.91</v>
      </c>
      <c r="J158" s="10" t="n">
        <f aca="false">ROUND(G158-H158-I158, 2)</f>
        <v>0</v>
      </c>
    </row>
    <row r="159" customFormat="false" ht="18.75" hidden="false" customHeight="true" outlineLevel="0" collapsed="false">
      <c r="A159" s="7" t="s">
        <v>569</v>
      </c>
      <c r="B159" s="7" t="s">
        <v>570</v>
      </c>
      <c r="C159" s="7" t="s">
        <v>135</v>
      </c>
      <c r="D159" s="7" t="s">
        <v>571</v>
      </c>
      <c r="E159" s="7" t="s">
        <v>254</v>
      </c>
      <c r="F159" s="19" t="s">
        <v>102</v>
      </c>
      <c r="G159" s="12" t="n">
        <v>5009.57</v>
      </c>
      <c r="H159" s="12" t="n">
        <v>146</v>
      </c>
      <c r="I159" s="12" t="n">
        <v>4863.57</v>
      </c>
      <c r="J159" s="12" t="n">
        <f aca="false">ROUND(G159-H159-I159, 2)</f>
        <v>0</v>
      </c>
    </row>
    <row r="160" customFormat="false" ht="18.75" hidden="false" customHeight="true" outlineLevel="0" collapsed="false">
      <c r="A160" s="4" t="s">
        <v>572</v>
      </c>
      <c r="B160" s="4" t="s">
        <v>573</v>
      </c>
      <c r="C160" s="4" t="s">
        <v>140</v>
      </c>
      <c r="D160" s="4" t="s">
        <v>574</v>
      </c>
      <c r="E160" s="4" t="s">
        <v>258</v>
      </c>
      <c r="F160" s="18" t="s">
        <v>102</v>
      </c>
      <c r="G160" s="10" t="n">
        <v>5182.86</v>
      </c>
      <c r="H160" s="10" t="n">
        <v>83.74</v>
      </c>
      <c r="I160" s="10" t="n">
        <v>5099.12</v>
      </c>
      <c r="J160" s="10" t="n">
        <f aca="false">ROUND(G160-H160-I160, 2)</f>
        <v>0</v>
      </c>
    </row>
    <row r="161" customFormat="false" ht="18.75" hidden="false" customHeight="true" outlineLevel="0" collapsed="false">
      <c r="A161" s="7" t="s">
        <v>575</v>
      </c>
      <c r="B161" s="7" t="s">
        <v>576</v>
      </c>
      <c r="C161" s="7" t="s">
        <v>145</v>
      </c>
      <c r="D161" s="7" t="s">
        <v>577</v>
      </c>
      <c r="E161" s="7" t="s">
        <v>262</v>
      </c>
      <c r="F161" s="19" t="s">
        <v>102</v>
      </c>
      <c r="G161" s="12" t="n">
        <v>5355.15</v>
      </c>
      <c r="H161" s="12" t="n">
        <v>135.06</v>
      </c>
      <c r="I161" s="12" t="n">
        <v>5220.09</v>
      </c>
      <c r="J161" s="12" t="n">
        <f aca="false">ROUND(G161-H161-I161, 2)</f>
        <v>0</v>
      </c>
    </row>
    <row r="162" customFormat="false" ht="18.75" hidden="false" customHeight="true" outlineLevel="0" collapsed="false">
      <c r="A162" s="4" t="s">
        <v>578</v>
      </c>
      <c r="B162" s="4" t="s">
        <v>579</v>
      </c>
      <c r="C162" s="4" t="s">
        <v>150</v>
      </c>
      <c r="D162" s="4" t="s">
        <v>580</v>
      </c>
      <c r="E162" s="4" t="s">
        <v>266</v>
      </c>
      <c r="F162" s="18" t="s">
        <v>102</v>
      </c>
      <c r="G162" s="10" t="n">
        <v>5528.44</v>
      </c>
      <c r="H162" s="10" t="n">
        <v>123.05</v>
      </c>
      <c r="I162" s="10" t="n">
        <v>5405.39</v>
      </c>
      <c r="J162" s="10" t="n">
        <f aca="false">ROUND(G162-H162-I162, 2)</f>
        <v>0</v>
      </c>
    </row>
    <row r="163" customFormat="false" ht="18.75" hidden="false" customHeight="true" outlineLevel="0" collapsed="false">
      <c r="A163" s="7" t="s">
        <v>581</v>
      </c>
      <c r="B163" s="7" t="s">
        <v>582</v>
      </c>
      <c r="C163" s="7" t="s">
        <v>155</v>
      </c>
      <c r="D163" s="7" t="s">
        <v>583</v>
      </c>
      <c r="E163" s="7" t="s">
        <v>270</v>
      </c>
      <c r="F163" s="19" t="s">
        <v>102</v>
      </c>
      <c r="G163" s="12" t="n">
        <v>5701.73</v>
      </c>
      <c r="H163" s="12" t="n">
        <v>109.42</v>
      </c>
      <c r="I163" s="12" t="n">
        <v>5592.31</v>
      </c>
      <c r="J163" s="12" t="n">
        <f aca="false">ROUND(G163-H163-I163, 2)</f>
        <v>0</v>
      </c>
    </row>
    <row r="164" customFormat="false" ht="18.75" hidden="false" customHeight="true" outlineLevel="0" collapsed="false">
      <c r="A164" s="4" t="s">
        <v>584</v>
      </c>
      <c r="B164" s="4" t="s">
        <v>585</v>
      </c>
      <c r="C164" s="4" t="s">
        <v>160</v>
      </c>
      <c r="D164" s="4" t="s">
        <v>586</v>
      </c>
      <c r="E164" s="4" t="s">
        <v>274</v>
      </c>
      <c r="F164" s="18" t="s">
        <v>102</v>
      </c>
      <c r="G164" s="10" t="n">
        <v>5874.02</v>
      </c>
      <c r="H164" s="10" t="n">
        <v>138.11</v>
      </c>
      <c r="I164" s="10" t="n">
        <v>5735.91</v>
      </c>
      <c r="J164" s="10" t="n">
        <f aca="false">ROUND(G164-H164-I164, 2)</f>
        <v>0</v>
      </c>
    </row>
    <row r="165" customFormat="false" ht="18.75" hidden="false" customHeight="true" outlineLevel="0" collapsed="false">
      <c r="A165" s="7" t="s">
        <v>587</v>
      </c>
      <c r="B165" s="7" t="s">
        <v>588</v>
      </c>
      <c r="C165" s="7" t="s">
        <v>165</v>
      </c>
      <c r="D165" s="7" t="s">
        <v>589</v>
      </c>
      <c r="E165" s="7" t="s">
        <v>278</v>
      </c>
      <c r="F165" s="19" t="s">
        <v>102</v>
      </c>
      <c r="G165" s="12" t="n">
        <v>6047.31</v>
      </c>
      <c r="H165" s="12" t="n">
        <v>111.78</v>
      </c>
      <c r="I165" s="12" t="n">
        <v>5935.53</v>
      </c>
      <c r="J165" s="12" t="n">
        <f aca="false">ROUND(G165-H165-I165, 2)</f>
        <v>0</v>
      </c>
    </row>
    <row r="166" customFormat="false" ht="18.75" hidden="false" customHeight="true" outlineLevel="0" collapsed="false">
      <c r="A166" s="4" t="s">
        <v>590</v>
      </c>
      <c r="B166" s="4" t="s">
        <v>591</v>
      </c>
      <c r="C166" s="4" t="s">
        <v>170</v>
      </c>
      <c r="D166" s="4" t="s">
        <v>592</v>
      </c>
      <c r="E166" s="4" t="s">
        <v>282</v>
      </c>
      <c r="F166" s="18" t="s">
        <v>102</v>
      </c>
      <c r="G166" s="10" t="n">
        <v>6220.6</v>
      </c>
      <c r="H166" s="10" t="n">
        <v>187.05</v>
      </c>
      <c r="I166" s="10" t="n">
        <v>6033.55</v>
      </c>
      <c r="J166" s="10" t="n">
        <f aca="false">ROUND(G166-H166-I166, 2)</f>
        <v>0</v>
      </c>
    </row>
    <row r="167" customFormat="false" ht="18.75" hidden="false" customHeight="true" outlineLevel="0" collapsed="false">
      <c r="A167" s="7" t="s">
        <v>593</v>
      </c>
      <c r="B167" s="7" t="s">
        <v>594</v>
      </c>
      <c r="C167" s="7" t="s">
        <v>175</v>
      </c>
      <c r="D167" s="7" t="s">
        <v>595</v>
      </c>
      <c r="E167" s="7" t="s">
        <v>286</v>
      </c>
      <c r="F167" s="19" t="s">
        <v>102</v>
      </c>
      <c r="G167" s="12" t="n">
        <v>6393.89</v>
      </c>
      <c r="H167" s="12" t="n">
        <v>111.17</v>
      </c>
      <c r="I167" s="12" t="n">
        <v>6282.72</v>
      </c>
      <c r="J167" s="12" t="n">
        <f aca="false">ROUND(G167-H167-I167, 2)</f>
        <v>0</v>
      </c>
    </row>
    <row r="168" customFormat="false" ht="18.75" hidden="false" customHeight="true" outlineLevel="0" collapsed="false">
      <c r="A168" s="4" t="s">
        <v>596</v>
      </c>
      <c r="B168" s="4" t="s">
        <v>597</v>
      </c>
      <c r="C168" s="4" t="s">
        <v>180</v>
      </c>
      <c r="D168" s="4" t="s">
        <v>598</v>
      </c>
      <c r="E168" s="4" t="s">
        <v>290</v>
      </c>
      <c r="F168" s="18" t="s">
        <v>102</v>
      </c>
      <c r="G168" s="10" t="n">
        <v>6566.18</v>
      </c>
      <c r="H168" s="10" t="n">
        <v>161.79</v>
      </c>
      <c r="I168" s="10" t="n">
        <v>6404.39</v>
      </c>
      <c r="J168" s="10" t="n">
        <f aca="false">ROUND(G168-H168-I168, 2)</f>
        <v>0</v>
      </c>
    </row>
    <row r="169" customFormat="false" ht="18.75" hidden="false" customHeight="true" outlineLevel="0" collapsed="false">
      <c r="A169" s="7" t="s">
        <v>599</v>
      </c>
      <c r="B169" s="7" t="s">
        <v>600</v>
      </c>
      <c r="C169" s="7" t="s">
        <v>185</v>
      </c>
      <c r="D169" s="7" t="s">
        <v>601</v>
      </c>
      <c r="E169" s="7" t="s">
        <v>294</v>
      </c>
      <c r="F169" s="19" t="s">
        <v>102</v>
      </c>
      <c r="G169" s="12" t="n">
        <v>6739.47</v>
      </c>
      <c r="H169" s="12" t="n">
        <v>186.45</v>
      </c>
      <c r="I169" s="12" t="n">
        <v>6553.02</v>
      </c>
      <c r="J169" s="12" t="n">
        <f aca="false">ROUND(G169-H169-I169, 2)</f>
        <v>0</v>
      </c>
    </row>
    <row r="170" customFormat="false" ht="18.75" hidden="false" customHeight="true" outlineLevel="0" collapsed="false">
      <c r="A170" s="4" t="s">
        <v>602</v>
      </c>
      <c r="B170" s="4" t="s">
        <v>603</v>
      </c>
      <c r="C170" s="4" t="s">
        <v>190</v>
      </c>
      <c r="D170" s="4" t="s">
        <v>604</v>
      </c>
      <c r="E170" s="4" t="s">
        <v>298</v>
      </c>
      <c r="F170" s="18" t="s">
        <v>102</v>
      </c>
      <c r="G170" s="10" t="n">
        <v>6912.76</v>
      </c>
      <c r="H170" s="10" t="n">
        <v>141.03</v>
      </c>
      <c r="I170" s="10" t="n">
        <v>6771.73</v>
      </c>
      <c r="J170" s="10" t="n">
        <f aca="false">ROUND(G170-H170-I170, 2)</f>
        <v>0</v>
      </c>
    </row>
    <row r="171" customFormat="false" ht="18.75" hidden="false" customHeight="true" outlineLevel="0" collapsed="false">
      <c r="A171" s="7" t="s">
        <v>605</v>
      </c>
      <c r="B171" s="7" t="s">
        <v>606</v>
      </c>
      <c r="C171" s="7" t="s">
        <v>195</v>
      </c>
      <c r="D171" s="7" t="s">
        <v>607</v>
      </c>
      <c r="E171" s="7" t="s">
        <v>302</v>
      </c>
      <c r="F171" s="19" t="s">
        <v>102</v>
      </c>
      <c r="G171" s="12" t="n">
        <v>7085.05</v>
      </c>
      <c r="H171" s="12" t="n">
        <v>139.71</v>
      </c>
      <c r="I171" s="12" t="n">
        <v>6945.34</v>
      </c>
      <c r="J171" s="12" t="n">
        <f aca="false">ROUND(G171-H171-I171, 2)</f>
        <v>0</v>
      </c>
    </row>
    <row r="172" customFormat="false" ht="18.75" hidden="false" customHeight="true" outlineLevel="0" collapsed="false">
      <c r="A172" s="4" t="s">
        <v>608</v>
      </c>
      <c r="B172" s="4" t="s">
        <v>609</v>
      </c>
      <c r="C172" s="4" t="s">
        <v>200</v>
      </c>
      <c r="D172" s="4" t="s">
        <v>610</v>
      </c>
      <c r="E172" s="4" t="s">
        <v>306</v>
      </c>
      <c r="F172" s="18" t="s">
        <v>102</v>
      </c>
      <c r="G172" s="10" t="n">
        <v>7258.34</v>
      </c>
      <c r="H172" s="10" t="n">
        <v>160.81</v>
      </c>
      <c r="I172" s="10" t="n">
        <v>7097.53</v>
      </c>
      <c r="J172" s="10" t="n">
        <f aca="false">ROUND(G172-H172-I172, 2)</f>
        <v>0</v>
      </c>
    </row>
    <row r="173" customFormat="false" ht="18.75" hidden="false" customHeight="true" outlineLevel="0" collapsed="false">
      <c r="A173" s="7" t="s">
        <v>611</v>
      </c>
      <c r="B173" s="7" t="s">
        <v>612</v>
      </c>
      <c r="C173" s="7" t="s">
        <v>205</v>
      </c>
      <c r="D173" s="7" t="s">
        <v>613</v>
      </c>
      <c r="E173" s="7" t="s">
        <v>310</v>
      </c>
      <c r="F173" s="19" t="s">
        <v>102</v>
      </c>
      <c r="G173" s="12" t="n">
        <v>7431.63</v>
      </c>
      <c r="H173" s="12" t="n">
        <v>191.49</v>
      </c>
      <c r="I173" s="12" t="n">
        <v>7240.14</v>
      </c>
      <c r="J173" s="12" t="n">
        <f aca="false">ROUND(G173-H173-I173, 2)</f>
        <v>0</v>
      </c>
    </row>
    <row r="174" customFormat="false" ht="18.75" hidden="false" customHeight="true" outlineLevel="0" collapsed="false">
      <c r="A174" s="4" t="s">
        <v>614</v>
      </c>
      <c r="B174" s="4" t="s">
        <v>615</v>
      </c>
      <c r="C174" s="4" t="s">
        <v>210</v>
      </c>
      <c r="D174" s="4" t="s">
        <v>616</v>
      </c>
      <c r="E174" s="4" t="s">
        <v>314</v>
      </c>
      <c r="F174" s="18" t="s">
        <v>102</v>
      </c>
      <c r="G174" s="10" t="n">
        <v>7604.92</v>
      </c>
      <c r="H174" s="10" t="n">
        <v>145.35</v>
      </c>
      <c r="I174" s="10" t="n">
        <v>7459.57</v>
      </c>
      <c r="J174" s="10" t="n">
        <f aca="false">ROUND(G174-H174-I174, 2)</f>
        <v>0</v>
      </c>
    </row>
    <row r="175" customFormat="false" ht="18.75" hidden="false" customHeight="true" outlineLevel="0" collapsed="false">
      <c r="A175" s="7" t="s">
        <v>617</v>
      </c>
      <c r="B175" s="7" t="s">
        <v>618</v>
      </c>
      <c r="C175" s="7" t="s">
        <v>215</v>
      </c>
      <c r="D175" s="7" t="s">
        <v>619</v>
      </c>
      <c r="E175" s="7" t="s">
        <v>318</v>
      </c>
      <c r="F175" s="19" t="s">
        <v>102</v>
      </c>
      <c r="G175" s="12" t="n">
        <v>7777.21</v>
      </c>
      <c r="H175" s="12" t="n">
        <v>210.03</v>
      </c>
      <c r="I175" s="12" t="n">
        <v>7567.18</v>
      </c>
      <c r="J175" s="12" t="n">
        <f aca="false">ROUND(G175-H175-I175, 2)</f>
        <v>0</v>
      </c>
    </row>
    <row r="176" customFormat="false" ht="18.75" hidden="false" customHeight="true" outlineLevel="0" collapsed="false">
      <c r="A176" s="4" t="s">
        <v>620</v>
      </c>
      <c r="B176" s="4" t="s">
        <v>621</v>
      </c>
      <c r="C176" s="4" t="s">
        <v>220</v>
      </c>
      <c r="D176" s="4" t="s">
        <v>622</v>
      </c>
      <c r="E176" s="4" t="s">
        <v>322</v>
      </c>
      <c r="F176" s="18" t="s">
        <v>102</v>
      </c>
      <c r="G176" s="10" t="n">
        <v>7950.5</v>
      </c>
      <c r="H176" s="10" t="n">
        <v>142.5</v>
      </c>
      <c r="I176" s="10" t="n">
        <v>7808</v>
      </c>
      <c r="J176" s="10" t="n">
        <f aca="false">ROUND(G176-H176-I176, 2)</f>
        <v>0</v>
      </c>
    </row>
    <row r="177" customFormat="false" ht="18.75" hidden="false" customHeight="true" outlineLevel="0" collapsed="false">
      <c r="A177" s="7" t="s">
        <v>623</v>
      </c>
      <c r="B177" s="7" t="s">
        <v>624</v>
      </c>
      <c r="C177" s="7" t="s">
        <v>99</v>
      </c>
      <c r="D177" s="7" t="s">
        <v>625</v>
      </c>
      <c r="E177" s="7" t="s">
        <v>101</v>
      </c>
      <c r="F177" s="19" t="s">
        <v>102</v>
      </c>
      <c r="G177" s="12" t="n">
        <v>8123.79</v>
      </c>
      <c r="H177" s="12" t="n">
        <v>174.91</v>
      </c>
      <c r="I177" s="12" t="n">
        <v>7948.88</v>
      </c>
      <c r="J177" s="12" t="n">
        <f aca="false">ROUND(G177-H177-I177, 2)</f>
        <v>0</v>
      </c>
    </row>
    <row r="178" customFormat="false" ht="18.75" hidden="false" customHeight="true" outlineLevel="0" collapsed="false">
      <c r="A178" s="4" t="s">
        <v>626</v>
      </c>
      <c r="B178" s="4" t="s">
        <v>627</v>
      </c>
      <c r="C178" s="4" t="s">
        <v>105</v>
      </c>
      <c r="D178" s="4" t="s">
        <v>628</v>
      </c>
      <c r="E178" s="4" t="s">
        <v>107</v>
      </c>
      <c r="F178" s="18" t="s">
        <v>102</v>
      </c>
      <c r="G178" s="10" t="n">
        <v>8296.08</v>
      </c>
      <c r="H178" s="10" t="n">
        <v>138.83</v>
      </c>
      <c r="I178" s="10" t="n">
        <v>8157.25</v>
      </c>
      <c r="J178" s="10" t="n">
        <f aca="false">ROUND(G178-H178-I178, 2)</f>
        <v>0</v>
      </c>
    </row>
    <row r="179" customFormat="false" ht="18.75" hidden="false" customHeight="true" outlineLevel="0" collapsed="false">
      <c r="A179" s="7" t="s">
        <v>629</v>
      </c>
      <c r="B179" s="7" t="s">
        <v>630</v>
      </c>
      <c r="C179" s="7" t="s">
        <v>110</v>
      </c>
      <c r="D179" s="7" t="s">
        <v>631</v>
      </c>
      <c r="E179" s="7" t="s">
        <v>112</v>
      </c>
      <c r="F179" s="19" t="s">
        <v>102</v>
      </c>
      <c r="G179" s="12" t="n">
        <v>8469.37</v>
      </c>
      <c r="H179" s="12" t="n">
        <v>223.41</v>
      </c>
      <c r="I179" s="12" t="n">
        <v>8245.96</v>
      </c>
      <c r="J179" s="12" t="n">
        <f aca="false">ROUND(G179-H179-I179, 2)</f>
        <v>0</v>
      </c>
    </row>
    <row r="180" customFormat="false" ht="18.75" hidden="false" customHeight="true" outlineLevel="0" collapsed="false">
      <c r="A180" s="4" t="s">
        <v>632</v>
      </c>
      <c r="B180" s="4" t="s">
        <v>633</v>
      </c>
      <c r="C180" s="4" t="s">
        <v>115</v>
      </c>
      <c r="D180" s="4" t="s">
        <v>634</v>
      </c>
      <c r="E180" s="4" t="s">
        <v>117</v>
      </c>
      <c r="F180" s="18" t="s">
        <v>102</v>
      </c>
      <c r="G180" s="10" t="n">
        <v>8642.66</v>
      </c>
      <c r="H180" s="10" t="n">
        <v>180.84</v>
      </c>
      <c r="I180" s="10" t="n">
        <v>8461.82</v>
      </c>
      <c r="J180" s="10" t="n">
        <f aca="false">ROUND(G180-H180-I180, 2)</f>
        <v>0</v>
      </c>
    </row>
    <row r="181" customFormat="false" ht="18.75" hidden="false" customHeight="true" outlineLevel="0" collapsed="false">
      <c r="A181" s="7" t="s">
        <v>635</v>
      </c>
      <c r="B181" s="7" t="s">
        <v>636</v>
      </c>
      <c r="C181" s="7" t="s">
        <v>120</v>
      </c>
      <c r="D181" s="7" t="s">
        <v>637</v>
      </c>
      <c r="E181" s="7" t="s">
        <v>122</v>
      </c>
      <c r="F181" s="19" t="s">
        <v>102</v>
      </c>
      <c r="G181" s="12" t="n">
        <v>8815.95</v>
      </c>
      <c r="H181" s="12" t="n">
        <v>211.01</v>
      </c>
      <c r="I181" s="12" t="n">
        <v>8604.94</v>
      </c>
      <c r="J181" s="12" t="n">
        <f aca="false">ROUND(G181-H181-I181, 2)</f>
        <v>0</v>
      </c>
    </row>
    <row r="182" customFormat="false" ht="18.75" hidden="false" customHeight="true" outlineLevel="0" collapsed="false">
      <c r="A182" s="4" t="s">
        <v>638</v>
      </c>
      <c r="B182" s="4" t="s">
        <v>639</v>
      </c>
      <c r="C182" s="4" t="s">
        <v>125</v>
      </c>
      <c r="D182" s="4" t="s">
        <v>640</v>
      </c>
      <c r="E182" s="4" t="s">
        <v>127</v>
      </c>
      <c r="F182" s="18" t="s">
        <v>102</v>
      </c>
      <c r="G182" s="10" t="n">
        <v>8988.24</v>
      </c>
      <c r="H182" s="10" t="n">
        <v>203.88</v>
      </c>
      <c r="I182" s="10" t="n">
        <v>8784.36</v>
      </c>
      <c r="J182" s="10" t="n">
        <f aca="false">ROUND(G182-H182-I182, 2)</f>
        <v>0</v>
      </c>
    </row>
    <row r="183" customFormat="false" ht="18.75" hidden="false" customHeight="true" outlineLevel="0" collapsed="false">
      <c r="A183" s="7" t="s">
        <v>641</v>
      </c>
      <c r="B183" s="7" t="s">
        <v>642</v>
      </c>
      <c r="C183" s="7" t="s">
        <v>130</v>
      </c>
      <c r="D183" s="7" t="s">
        <v>643</v>
      </c>
      <c r="E183" s="7" t="s">
        <v>132</v>
      </c>
      <c r="F183" s="19" t="s">
        <v>102</v>
      </c>
      <c r="G183" s="12" t="n">
        <v>9161.53</v>
      </c>
      <c r="H183" s="12" t="n">
        <v>163.93</v>
      </c>
      <c r="I183" s="12" t="n">
        <v>8997.6</v>
      </c>
      <c r="J183" s="12" t="n">
        <f aca="false">ROUND(G183-H183-I183, 2)</f>
        <v>0</v>
      </c>
    </row>
    <row r="184" customFormat="false" ht="18.75" hidden="false" customHeight="true" outlineLevel="0" collapsed="false">
      <c r="A184" s="4" t="s">
        <v>644</v>
      </c>
      <c r="B184" s="4" t="s">
        <v>645</v>
      </c>
      <c r="C184" s="4" t="s">
        <v>135</v>
      </c>
      <c r="D184" s="4" t="s">
        <v>646</v>
      </c>
      <c r="E184" s="4" t="s">
        <v>137</v>
      </c>
      <c r="F184" s="18" t="s">
        <v>102</v>
      </c>
      <c r="G184" s="10" t="n">
        <v>9334.82</v>
      </c>
      <c r="H184" s="10" t="n">
        <v>268.5</v>
      </c>
      <c r="I184" s="10" t="n">
        <v>9066.32</v>
      </c>
      <c r="J184" s="10" t="n">
        <f aca="false">ROUND(G184-H184-I184, 2)</f>
        <v>0</v>
      </c>
    </row>
    <row r="185" customFormat="false" ht="18.75" hidden="false" customHeight="true" outlineLevel="0" collapsed="false">
      <c r="A185" s="7" t="s">
        <v>647</v>
      </c>
      <c r="B185" s="7" t="s">
        <v>648</v>
      </c>
      <c r="C185" s="7" t="s">
        <v>140</v>
      </c>
      <c r="D185" s="7" t="s">
        <v>649</v>
      </c>
      <c r="E185" s="7" t="s">
        <v>142</v>
      </c>
      <c r="F185" s="19" t="s">
        <v>102</v>
      </c>
      <c r="G185" s="12" t="n">
        <v>9507.11</v>
      </c>
      <c r="H185" s="12" t="n">
        <v>152.63</v>
      </c>
      <c r="I185" s="12" t="n">
        <v>9354.48</v>
      </c>
      <c r="J185" s="12" t="n">
        <f aca="false">ROUND(G185-H185-I185, 2)</f>
        <v>0</v>
      </c>
    </row>
    <row r="186" customFormat="false" ht="18.75" hidden="false" customHeight="true" outlineLevel="0" collapsed="false">
      <c r="A186" s="4" t="s">
        <v>650</v>
      </c>
      <c r="B186" s="4" t="s">
        <v>651</v>
      </c>
      <c r="C186" s="4" t="s">
        <v>145</v>
      </c>
      <c r="D186" s="4" t="s">
        <v>652</v>
      </c>
      <c r="E186" s="4" t="s">
        <v>147</v>
      </c>
      <c r="F186" s="18" t="s">
        <v>102</v>
      </c>
      <c r="G186" s="10" t="n">
        <v>9680.4</v>
      </c>
      <c r="H186" s="10" t="n">
        <v>242.24</v>
      </c>
      <c r="I186" s="10" t="n">
        <v>9438.16</v>
      </c>
      <c r="J186" s="10" t="n">
        <f aca="false">ROUND(G186-H186-I186, 2)</f>
        <v>0</v>
      </c>
    </row>
    <row r="187" customFormat="false" ht="18.75" hidden="false" customHeight="true" outlineLevel="0" collapsed="false">
      <c r="A187" s="7" t="s">
        <v>653</v>
      </c>
      <c r="B187" s="7" t="s">
        <v>654</v>
      </c>
      <c r="C187" s="7" t="s">
        <v>150</v>
      </c>
      <c r="D187" s="7" t="s">
        <v>655</v>
      </c>
      <c r="E187" s="7" t="s">
        <v>152</v>
      </c>
      <c r="F187" s="19" t="s">
        <v>102</v>
      </c>
      <c r="G187" s="12" t="n">
        <v>9853.69</v>
      </c>
      <c r="H187" s="12" t="n">
        <v>217.46</v>
      </c>
      <c r="I187" s="12" t="n">
        <v>9636.23</v>
      </c>
      <c r="J187" s="12" t="n">
        <f aca="false">ROUND(G187-H187-I187, 2)</f>
        <v>0</v>
      </c>
    </row>
    <row r="188" customFormat="false" ht="18.75" hidden="false" customHeight="true" outlineLevel="0" collapsed="false">
      <c r="A188" s="4" t="s">
        <v>656</v>
      </c>
      <c r="B188" s="4" t="s">
        <v>657</v>
      </c>
      <c r="C188" s="4" t="s">
        <v>155</v>
      </c>
      <c r="D188" s="4" t="s">
        <v>658</v>
      </c>
      <c r="E188" s="4" t="s">
        <v>157</v>
      </c>
      <c r="F188" s="18" t="s">
        <v>102</v>
      </c>
      <c r="G188" s="10" t="n">
        <v>10026.98</v>
      </c>
      <c r="H188" s="10" t="n">
        <v>191.08</v>
      </c>
      <c r="I188" s="10" t="n">
        <v>9835.9</v>
      </c>
      <c r="J188" s="10" t="n">
        <f aca="false">ROUND(G188-H188-I188, 2)</f>
        <v>0</v>
      </c>
    </row>
    <row r="189" customFormat="false" ht="18.75" hidden="false" customHeight="true" outlineLevel="0" collapsed="false">
      <c r="A189" s="7" t="s">
        <v>659</v>
      </c>
      <c r="B189" s="7" t="s">
        <v>660</v>
      </c>
      <c r="C189" s="7" t="s">
        <v>160</v>
      </c>
      <c r="D189" s="7" t="s">
        <v>661</v>
      </c>
      <c r="E189" s="7" t="s">
        <v>162</v>
      </c>
      <c r="F189" s="19" t="s">
        <v>102</v>
      </c>
      <c r="G189" s="12" t="n">
        <v>10199.27</v>
      </c>
      <c r="H189" s="12" t="n">
        <v>237.64</v>
      </c>
      <c r="I189" s="12" t="n">
        <v>9961.63</v>
      </c>
      <c r="J189" s="12" t="n">
        <f aca="false">ROUND(G189-H189-I189, 2)</f>
        <v>0</v>
      </c>
    </row>
    <row r="190" customFormat="false" ht="18.75" hidden="false" customHeight="true" outlineLevel="0" collapsed="false">
      <c r="A190" s="4" t="s">
        <v>662</v>
      </c>
      <c r="B190" s="4" t="s">
        <v>663</v>
      </c>
      <c r="C190" s="4" t="s">
        <v>165</v>
      </c>
      <c r="D190" s="4" t="s">
        <v>664</v>
      </c>
      <c r="E190" s="4" t="s">
        <v>167</v>
      </c>
      <c r="F190" s="18" t="s">
        <v>102</v>
      </c>
      <c r="G190" s="10" t="n">
        <v>10372.56</v>
      </c>
      <c r="H190" s="10" t="n">
        <v>190.89</v>
      </c>
      <c r="I190" s="10" t="n">
        <v>10181.67</v>
      </c>
      <c r="J190" s="10" t="n">
        <f aca="false">ROUND(G190-H190-I190, 2)</f>
        <v>0</v>
      </c>
    </row>
    <row r="191" customFormat="false" ht="18.75" hidden="false" customHeight="true" outlineLevel="0" collapsed="false">
      <c r="A191" s="7" t="s">
        <v>665</v>
      </c>
      <c r="B191" s="7" t="s">
        <v>666</v>
      </c>
      <c r="C191" s="7" t="s">
        <v>170</v>
      </c>
      <c r="D191" s="7" t="s">
        <v>667</v>
      </c>
      <c r="E191" s="7" t="s">
        <v>172</v>
      </c>
      <c r="F191" s="19" t="s">
        <v>102</v>
      </c>
      <c r="G191" s="12" t="n">
        <v>10545.85</v>
      </c>
      <c r="H191" s="12" t="n">
        <v>314.65</v>
      </c>
      <c r="I191" s="12" t="n">
        <v>10231.2</v>
      </c>
      <c r="J191" s="12" t="n">
        <f aca="false">ROUND(G191-H191-I191, 2)</f>
        <v>0</v>
      </c>
    </row>
    <row r="192" customFormat="false" ht="18.75" hidden="false" customHeight="true" outlineLevel="0" collapsed="false">
      <c r="A192" s="4" t="s">
        <v>668</v>
      </c>
      <c r="B192" s="4" t="s">
        <v>669</v>
      </c>
      <c r="C192" s="4" t="s">
        <v>175</v>
      </c>
      <c r="D192" s="4" t="s">
        <v>670</v>
      </c>
      <c r="E192" s="4" t="s">
        <v>177</v>
      </c>
      <c r="F192" s="18" t="s">
        <v>102</v>
      </c>
      <c r="G192" s="10" t="n">
        <v>10718.14</v>
      </c>
      <c r="H192" s="10" t="n">
        <v>185.15</v>
      </c>
      <c r="I192" s="10" t="n">
        <v>10532.99</v>
      </c>
      <c r="J192" s="10" t="n">
        <f aca="false">ROUND(G192-H192-I192, 2)</f>
        <v>0</v>
      </c>
    </row>
    <row r="193" customFormat="false" ht="18.75" hidden="false" customHeight="true" outlineLevel="0" collapsed="false">
      <c r="A193" s="7" t="s">
        <v>671</v>
      </c>
      <c r="B193" s="7" t="s">
        <v>672</v>
      </c>
      <c r="C193" s="7" t="s">
        <v>180</v>
      </c>
      <c r="D193" s="7" t="s">
        <v>673</v>
      </c>
      <c r="E193" s="7" t="s">
        <v>182</v>
      </c>
      <c r="F193" s="19" t="s">
        <v>102</v>
      </c>
      <c r="G193" s="12" t="n">
        <v>10891.43</v>
      </c>
      <c r="H193" s="12" t="n">
        <v>266.41</v>
      </c>
      <c r="I193" s="12" t="n">
        <v>10625.02</v>
      </c>
      <c r="J193" s="12" t="n">
        <f aca="false">ROUND(G193-H193-I193, 2)</f>
        <v>0</v>
      </c>
    </row>
    <row r="194" customFormat="false" ht="18.75" hidden="false" customHeight="true" outlineLevel="0" collapsed="false">
      <c r="A194" s="4" t="s">
        <v>674</v>
      </c>
      <c r="B194" s="4" t="s">
        <v>675</v>
      </c>
      <c r="C194" s="4" t="s">
        <v>185</v>
      </c>
      <c r="D194" s="4" t="s">
        <v>676</v>
      </c>
      <c r="E194" s="4" t="s">
        <v>187</v>
      </c>
      <c r="F194" s="18" t="s">
        <v>102</v>
      </c>
      <c r="G194" s="10" t="n">
        <v>11064.72</v>
      </c>
      <c r="H194" s="10" t="n">
        <v>303.84</v>
      </c>
      <c r="I194" s="10" t="n">
        <v>10760.88</v>
      </c>
      <c r="J194" s="10" t="n">
        <f aca="false">ROUND(G194-H194-I194, 2)</f>
        <v>0</v>
      </c>
    </row>
    <row r="195" customFormat="false" ht="18.75" hidden="false" customHeight="true" outlineLevel="0" collapsed="false">
      <c r="A195" s="7" t="s">
        <v>677</v>
      </c>
      <c r="B195" s="7" t="s">
        <v>678</v>
      </c>
      <c r="C195" s="7" t="s">
        <v>190</v>
      </c>
      <c r="D195" s="7" t="s">
        <v>679</v>
      </c>
      <c r="E195" s="7" t="s">
        <v>192</v>
      </c>
      <c r="F195" s="19" t="s">
        <v>102</v>
      </c>
      <c r="G195" s="12" t="n">
        <v>11237.01</v>
      </c>
      <c r="H195" s="12" t="n">
        <v>227.78</v>
      </c>
      <c r="I195" s="12" t="n">
        <v>11009.23</v>
      </c>
      <c r="J195" s="12" t="n">
        <f aca="false">ROUND(G195-H195-I195, 2)</f>
        <v>0</v>
      </c>
    </row>
    <row r="196" customFormat="false" ht="18.75" hidden="false" customHeight="true" outlineLevel="0" collapsed="false">
      <c r="A196" s="4" t="s">
        <v>680</v>
      </c>
      <c r="B196" s="4" t="s">
        <v>681</v>
      </c>
      <c r="C196" s="4" t="s">
        <v>195</v>
      </c>
      <c r="D196" s="4" t="s">
        <v>682</v>
      </c>
      <c r="E196" s="4" t="s">
        <v>197</v>
      </c>
      <c r="F196" s="18" t="s">
        <v>102</v>
      </c>
      <c r="G196" s="10" t="n">
        <v>11410.3</v>
      </c>
      <c r="H196" s="10" t="n">
        <v>223.93</v>
      </c>
      <c r="I196" s="10" t="n">
        <v>11186.37</v>
      </c>
      <c r="J196" s="10" t="n">
        <f aca="false">ROUND(G196-H196-I196, 2)</f>
        <v>0</v>
      </c>
    </row>
    <row r="197" customFormat="false" ht="18.75" hidden="false" customHeight="true" outlineLevel="0" collapsed="false">
      <c r="A197" s="7" t="s">
        <v>683</v>
      </c>
      <c r="B197" s="7" t="s">
        <v>684</v>
      </c>
      <c r="C197" s="7" t="s">
        <v>200</v>
      </c>
      <c r="D197" s="7" t="s">
        <v>685</v>
      </c>
      <c r="E197" s="7" t="s">
        <v>202</v>
      </c>
      <c r="F197" s="19" t="s">
        <v>102</v>
      </c>
      <c r="G197" s="12" t="n">
        <v>11583.59</v>
      </c>
      <c r="H197" s="12" t="n">
        <v>255.23</v>
      </c>
      <c r="I197" s="12" t="n">
        <v>11328.36</v>
      </c>
      <c r="J197" s="12" t="n">
        <f aca="false">ROUND(G197-H197-I197, 2)</f>
        <v>0</v>
      </c>
    </row>
    <row r="198" customFormat="false" ht="18.75" hidden="false" customHeight="true" outlineLevel="0" collapsed="false">
      <c r="A198" s="4" t="s">
        <v>686</v>
      </c>
      <c r="B198" s="4" t="s">
        <v>687</v>
      </c>
      <c r="C198" s="4" t="s">
        <v>205</v>
      </c>
      <c r="D198" s="4" t="s">
        <v>688</v>
      </c>
      <c r="E198" s="4" t="s">
        <v>207</v>
      </c>
      <c r="F198" s="18" t="s">
        <v>102</v>
      </c>
      <c r="G198" s="10" t="n">
        <v>11756.88</v>
      </c>
      <c r="H198" s="10" t="n">
        <v>301.22</v>
      </c>
      <c r="I198" s="10" t="n">
        <v>11455.66</v>
      </c>
      <c r="J198" s="10" t="n">
        <f aca="false">ROUND(G198-H198-I198, 2)</f>
        <v>0</v>
      </c>
    </row>
    <row r="199" customFormat="false" ht="18.75" hidden="false" customHeight="true" outlineLevel="0" collapsed="false">
      <c r="A199" s="7" t="s">
        <v>689</v>
      </c>
      <c r="B199" s="7" t="s">
        <v>690</v>
      </c>
      <c r="C199" s="7" t="s">
        <v>210</v>
      </c>
      <c r="D199" s="7" t="s">
        <v>691</v>
      </c>
      <c r="E199" s="7" t="s">
        <v>212</v>
      </c>
      <c r="F199" s="19" t="s">
        <v>102</v>
      </c>
      <c r="G199" s="12" t="n">
        <v>11929.17</v>
      </c>
      <c r="H199" s="12" t="n">
        <v>227</v>
      </c>
      <c r="I199" s="12" t="n">
        <v>11702.17</v>
      </c>
      <c r="J199" s="12" t="n">
        <f aca="false">ROUND(G199-H199-I199, 2)</f>
        <v>0</v>
      </c>
    </row>
    <row r="200" customFormat="false" ht="18.75" hidden="false" customHeight="true" outlineLevel="0" collapsed="false">
      <c r="A200" s="4" t="s">
        <v>692</v>
      </c>
      <c r="B200" s="4" t="s">
        <v>693</v>
      </c>
      <c r="C200" s="4" t="s">
        <v>215</v>
      </c>
      <c r="D200" s="4" t="s">
        <v>694</v>
      </c>
      <c r="E200" s="4" t="s">
        <v>217</v>
      </c>
      <c r="F200" s="18" t="s">
        <v>102</v>
      </c>
      <c r="G200" s="10" t="n">
        <v>12102.46</v>
      </c>
      <c r="H200" s="10" t="n">
        <v>324.87</v>
      </c>
      <c r="I200" s="10" t="n">
        <v>11777.59</v>
      </c>
      <c r="J200" s="10" t="n">
        <f aca="false">ROUND(G200-H200-I200, 2)</f>
        <v>0</v>
      </c>
    </row>
    <row r="201" customFormat="false" ht="18.75" hidden="false" customHeight="true" outlineLevel="0" collapsed="false">
      <c r="A201" s="7" t="s">
        <v>695</v>
      </c>
      <c r="B201" s="7" t="s">
        <v>696</v>
      </c>
      <c r="C201" s="7" t="s">
        <v>220</v>
      </c>
      <c r="D201" s="7" t="s">
        <v>697</v>
      </c>
      <c r="E201" s="7" t="s">
        <v>222</v>
      </c>
      <c r="F201" s="19" t="s">
        <v>102</v>
      </c>
      <c r="G201" s="12" t="n">
        <v>12275.75</v>
      </c>
      <c r="H201" s="12" t="n">
        <v>219.06</v>
      </c>
      <c r="I201" s="12" t="n">
        <v>12056.69</v>
      </c>
      <c r="J201" s="12" t="n">
        <f aca="false">ROUND(G201-H201-I201, 2)</f>
        <v>0</v>
      </c>
    </row>
    <row r="202" customFormat="false" ht="21.75" hidden="false" customHeight="true" outlineLevel="0" collapsed="false">
      <c r="A202" s="14" t="s">
        <v>85</v>
      </c>
      <c r="B202" s="14" t="s">
        <v>86</v>
      </c>
      <c r="C202" s="14" t="s">
        <v>86</v>
      </c>
      <c r="D202" s="14" t="s">
        <v>86</v>
      </c>
      <c r="E202" s="14" t="s">
        <v>86</v>
      </c>
      <c r="F202" s="20" t="s">
        <v>86</v>
      </c>
      <c r="G202" s="16" t="n">
        <f aca="false">SUM(G2:G201)</f>
        <v>1493024.25</v>
      </c>
      <c r="H202" s="16" t="n">
        <f aca="false">SUM(H2:H201)</f>
        <v>33180.66</v>
      </c>
      <c r="I202" s="16" t="n">
        <f aca="false">SUM(I2:I201)</f>
        <v>1459843.59</v>
      </c>
      <c r="J202" s="16" t="n">
        <f aca="false">SUM(J2:J201)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3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" t="s">
        <v>698</v>
      </c>
      <c r="B1" s="1" t="s">
        <v>699</v>
      </c>
      <c r="C1" s="1" t="s">
        <v>87</v>
      </c>
      <c r="D1" s="1" t="s">
        <v>89</v>
      </c>
      <c r="E1" s="1" t="s">
        <v>700</v>
      </c>
      <c r="F1" s="1" t="s">
        <v>701</v>
      </c>
      <c r="G1" s="3" t="s">
        <v>93</v>
      </c>
      <c r="H1" s="3" t="s">
        <v>702</v>
      </c>
      <c r="I1" s="3" t="s">
        <v>703</v>
      </c>
      <c r="J1" s="3" t="s">
        <v>704</v>
      </c>
    </row>
    <row r="2" customFormat="false" ht="18.75" hidden="false" customHeight="true" outlineLevel="0" collapsed="false">
      <c r="A2" s="4" t="s">
        <v>705</v>
      </c>
      <c r="B2" s="4" t="s">
        <v>706</v>
      </c>
      <c r="C2" s="4" t="s">
        <v>97</v>
      </c>
      <c r="D2" s="4" t="s">
        <v>99</v>
      </c>
      <c r="E2" s="4" t="s">
        <v>707</v>
      </c>
      <c r="F2" s="4" t="s">
        <v>107</v>
      </c>
      <c r="G2" s="10" t="n">
        <v>423.29</v>
      </c>
      <c r="H2" s="10" t="n">
        <v>11.35</v>
      </c>
      <c r="I2" s="10" t="n">
        <v>411.94</v>
      </c>
      <c r="J2" s="10" t="n">
        <f aca="false">ROUND(G2-H2-I2, 2)</f>
        <v>0</v>
      </c>
    </row>
    <row r="3" customFormat="false" ht="18.75" hidden="false" customHeight="true" outlineLevel="0" collapsed="false">
      <c r="A3" s="7" t="s">
        <v>705</v>
      </c>
      <c r="B3" s="7" t="s">
        <v>706</v>
      </c>
      <c r="C3" s="7" t="s">
        <v>97</v>
      </c>
      <c r="D3" s="7" t="s">
        <v>99</v>
      </c>
      <c r="E3" s="7" t="s">
        <v>707</v>
      </c>
      <c r="F3" s="7" t="s">
        <v>107</v>
      </c>
      <c r="G3" s="12" t="n">
        <v>423.29</v>
      </c>
      <c r="H3" s="12" t="n">
        <v>11.35</v>
      </c>
      <c r="I3" s="12" t="n">
        <v>411.94</v>
      </c>
      <c r="J3" s="12" t="n">
        <f aca="false">ROUND(G3-H3-I3, 2)</f>
        <v>0</v>
      </c>
    </row>
    <row r="4" customFormat="false" ht="18.75" hidden="false" customHeight="true" outlineLevel="0" collapsed="false">
      <c r="A4" s="4" t="s">
        <v>708</v>
      </c>
      <c r="B4" s="4" t="s">
        <v>709</v>
      </c>
      <c r="C4" s="4" t="s">
        <v>103</v>
      </c>
      <c r="D4" s="4" t="s">
        <v>105</v>
      </c>
      <c r="E4" s="4" t="s">
        <v>710</v>
      </c>
      <c r="F4" s="4" t="s">
        <v>112</v>
      </c>
      <c r="G4" s="10" t="n">
        <v>596.58</v>
      </c>
      <c r="H4" s="10" t="n">
        <v>11.62</v>
      </c>
      <c r="I4" s="10" t="n">
        <v>584.96</v>
      </c>
      <c r="J4" s="10" t="n">
        <f aca="false">ROUND(G4-H4-I4, 2)</f>
        <v>0</v>
      </c>
    </row>
    <row r="5" customFormat="false" ht="18.75" hidden="false" customHeight="true" outlineLevel="0" collapsed="false">
      <c r="A5" s="7" t="s">
        <v>708</v>
      </c>
      <c r="B5" s="7" t="s">
        <v>709</v>
      </c>
      <c r="C5" s="7" t="s">
        <v>103</v>
      </c>
      <c r="D5" s="7" t="s">
        <v>105</v>
      </c>
      <c r="E5" s="7" t="s">
        <v>710</v>
      </c>
      <c r="F5" s="7" t="s">
        <v>112</v>
      </c>
      <c r="G5" s="12" t="n">
        <v>596.58</v>
      </c>
      <c r="H5" s="12" t="n">
        <v>11.62</v>
      </c>
      <c r="I5" s="12" t="n">
        <v>584.96</v>
      </c>
      <c r="J5" s="12" t="n">
        <f aca="false">ROUND(G5-H5-I5, 2)</f>
        <v>0</v>
      </c>
    </row>
    <row r="6" customFormat="false" ht="18.75" hidden="false" customHeight="true" outlineLevel="0" collapsed="false">
      <c r="A6" s="4" t="s">
        <v>711</v>
      </c>
      <c r="B6" s="4" t="s">
        <v>712</v>
      </c>
      <c r="C6" s="4" t="s">
        <v>108</v>
      </c>
      <c r="D6" s="4" t="s">
        <v>110</v>
      </c>
      <c r="E6" s="4" t="s">
        <v>713</v>
      </c>
      <c r="F6" s="4" t="s">
        <v>132</v>
      </c>
      <c r="G6" s="10" t="n">
        <v>769.87</v>
      </c>
      <c r="H6" s="10" t="n">
        <v>23.53</v>
      </c>
      <c r="I6" s="10" t="n">
        <v>746.34</v>
      </c>
      <c r="J6" s="10" t="n">
        <f aca="false">ROUND(G6-H6-I6, 2)</f>
        <v>0</v>
      </c>
    </row>
    <row r="7" customFormat="false" ht="18.75" hidden="false" customHeight="true" outlineLevel="0" collapsed="false">
      <c r="A7" s="7" t="s">
        <v>711</v>
      </c>
      <c r="B7" s="7" t="s">
        <v>712</v>
      </c>
      <c r="C7" s="7" t="s">
        <v>108</v>
      </c>
      <c r="D7" s="7" t="s">
        <v>110</v>
      </c>
      <c r="E7" s="7" t="s">
        <v>713</v>
      </c>
      <c r="F7" s="7" t="s">
        <v>132</v>
      </c>
      <c r="G7" s="12" t="n">
        <v>769.87</v>
      </c>
      <c r="H7" s="12" t="n">
        <v>23.53</v>
      </c>
      <c r="I7" s="12" t="n">
        <v>746.34</v>
      </c>
      <c r="J7" s="12" t="n">
        <f aca="false">ROUND(G7-H7-I7, 2)</f>
        <v>0</v>
      </c>
    </row>
    <row r="8" customFormat="false" ht="18.75" hidden="false" customHeight="true" outlineLevel="0" collapsed="false">
      <c r="A8" s="4" t="s">
        <v>714</v>
      </c>
      <c r="B8" s="4" t="s">
        <v>715</v>
      </c>
      <c r="C8" s="4" t="s">
        <v>113</v>
      </c>
      <c r="D8" s="4" t="s">
        <v>115</v>
      </c>
      <c r="E8" s="4" t="s">
        <v>716</v>
      </c>
      <c r="F8" s="4" t="s">
        <v>137</v>
      </c>
      <c r="G8" s="10" t="n">
        <v>942.16</v>
      </c>
      <c r="H8" s="10" t="n">
        <v>21.82</v>
      </c>
      <c r="I8" s="10" t="n">
        <v>920.34</v>
      </c>
      <c r="J8" s="10" t="n">
        <f aca="false">ROUND(G8-H8-I8, 2)</f>
        <v>0</v>
      </c>
    </row>
    <row r="9" customFormat="false" ht="18.75" hidden="false" customHeight="true" outlineLevel="0" collapsed="false">
      <c r="A9" s="7" t="s">
        <v>714</v>
      </c>
      <c r="B9" s="7" t="s">
        <v>715</v>
      </c>
      <c r="C9" s="7" t="s">
        <v>113</v>
      </c>
      <c r="D9" s="7" t="s">
        <v>115</v>
      </c>
      <c r="E9" s="7" t="s">
        <v>716</v>
      </c>
      <c r="F9" s="7" t="s">
        <v>137</v>
      </c>
      <c r="G9" s="12" t="n">
        <v>942.16</v>
      </c>
      <c r="H9" s="12" t="n">
        <v>21.82</v>
      </c>
      <c r="I9" s="12" t="n">
        <v>920.34</v>
      </c>
      <c r="J9" s="12" t="n">
        <f aca="false">ROUND(G9-H9-I9, 2)</f>
        <v>0</v>
      </c>
    </row>
    <row r="10" customFormat="false" ht="18.75" hidden="false" customHeight="true" outlineLevel="0" collapsed="false">
      <c r="A10" s="4" t="s">
        <v>717</v>
      </c>
      <c r="B10" s="4" t="s">
        <v>718</v>
      </c>
      <c r="C10" s="4" t="s">
        <v>118</v>
      </c>
      <c r="D10" s="4" t="s">
        <v>120</v>
      </c>
      <c r="E10" s="4" t="s">
        <v>719</v>
      </c>
      <c r="F10" s="4" t="s">
        <v>137</v>
      </c>
      <c r="G10" s="10" t="n">
        <v>1115.45</v>
      </c>
      <c r="H10" s="10" t="n">
        <v>29.28</v>
      </c>
      <c r="I10" s="10" t="n">
        <v>1086.17</v>
      </c>
      <c r="J10" s="10" t="n">
        <f aca="false">ROUND(G10-H10-I10, 2)</f>
        <v>0</v>
      </c>
    </row>
    <row r="11" customFormat="false" ht="18.75" hidden="false" customHeight="true" outlineLevel="0" collapsed="false">
      <c r="A11" s="7" t="s">
        <v>717</v>
      </c>
      <c r="B11" s="7" t="s">
        <v>718</v>
      </c>
      <c r="C11" s="7" t="s">
        <v>118</v>
      </c>
      <c r="D11" s="7" t="s">
        <v>120</v>
      </c>
      <c r="E11" s="7" t="s">
        <v>719</v>
      </c>
      <c r="F11" s="7" t="s">
        <v>137</v>
      </c>
      <c r="G11" s="12" t="n">
        <v>1115.45</v>
      </c>
      <c r="H11" s="12" t="n">
        <v>29.28</v>
      </c>
      <c r="I11" s="12" t="n">
        <v>1086.17</v>
      </c>
      <c r="J11" s="12" t="n">
        <f aca="false">ROUND(G11-H11-I11, 2)</f>
        <v>0</v>
      </c>
    </row>
    <row r="12" customFormat="false" ht="18.75" hidden="false" customHeight="true" outlineLevel="0" collapsed="false">
      <c r="A12" s="4" t="s">
        <v>720</v>
      </c>
      <c r="B12" s="4" t="s">
        <v>721</v>
      </c>
      <c r="C12" s="4" t="s">
        <v>123</v>
      </c>
      <c r="D12" s="4" t="s">
        <v>125</v>
      </c>
      <c r="E12" s="4" t="s">
        <v>722</v>
      </c>
      <c r="F12" s="4" t="s">
        <v>137</v>
      </c>
      <c r="G12" s="10" t="n">
        <v>1288.74</v>
      </c>
      <c r="H12" s="10" t="n">
        <v>31.26</v>
      </c>
      <c r="I12" s="10" t="n">
        <v>1257.48</v>
      </c>
      <c r="J12" s="10" t="n">
        <f aca="false">ROUND(G12-H12-I12, 2)</f>
        <v>0</v>
      </c>
    </row>
    <row r="13" customFormat="false" ht="18.75" hidden="false" customHeight="true" outlineLevel="0" collapsed="false">
      <c r="A13" s="7" t="s">
        <v>720</v>
      </c>
      <c r="B13" s="7" t="s">
        <v>721</v>
      </c>
      <c r="C13" s="7" t="s">
        <v>123</v>
      </c>
      <c r="D13" s="7" t="s">
        <v>125</v>
      </c>
      <c r="E13" s="7" t="s">
        <v>722</v>
      </c>
      <c r="F13" s="7" t="s">
        <v>137</v>
      </c>
      <c r="G13" s="12" t="n">
        <v>1288.74</v>
      </c>
      <c r="H13" s="12" t="n">
        <v>31.26</v>
      </c>
      <c r="I13" s="12" t="n">
        <v>1257.48</v>
      </c>
      <c r="J13" s="12" t="n">
        <f aca="false">ROUND(G13-H13-I13, 2)</f>
        <v>0</v>
      </c>
    </row>
    <row r="14" customFormat="false" ht="18.75" hidden="false" customHeight="true" outlineLevel="0" collapsed="false">
      <c r="A14" s="4" t="s">
        <v>723</v>
      </c>
      <c r="B14" s="4" t="s">
        <v>724</v>
      </c>
      <c r="C14" s="4" t="s">
        <v>128</v>
      </c>
      <c r="D14" s="4" t="s">
        <v>130</v>
      </c>
      <c r="E14" s="4" t="s">
        <v>725</v>
      </c>
      <c r="F14" s="4" t="s">
        <v>137</v>
      </c>
      <c r="G14" s="10" t="n">
        <v>1461.03</v>
      </c>
      <c r="H14" s="10" t="n">
        <v>27.64</v>
      </c>
      <c r="I14" s="10" t="n">
        <v>1433.39</v>
      </c>
      <c r="J14" s="10" t="n">
        <f aca="false">ROUND(G14-H14-I14, 2)</f>
        <v>0</v>
      </c>
    </row>
    <row r="15" customFormat="false" ht="18.75" hidden="false" customHeight="true" outlineLevel="0" collapsed="false">
      <c r="A15" s="7" t="s">
        <v>723</v>
      </c>
      <c r="B15" s="7" t="s">
        <v>724</v>
      </c>
      <c r="C15" s="7" t="s">
        <v>128</v>
      </c>
      <c r="D15" s="7" t="s">
        <v>130</v>
      </c>
      <c r="E15" s="7" t="s">
        <v>725</v>
      </c>
      <c r="F15" s="7" t="s">
        <v>137</v>
      </c>
      <c r="G15" s="12" t="n">
        <v>1461.03</v>
      </c>
      <c r="H15" s="12" t="n">
        <v>27.64</v>
      </c>
      <c r="I15" s="12" t="n">
        <v>1433.39</v>
      </c>
      <c r="J15" s="12" t="n">
        <f aca="false">ROUND(G15-H15-I15, 2)</f>
        <v>0</v>
      </c>
    </row>
    <row r="16" customFormat="false" ht="18.75" hidden="false" customHeight="true" outlineLevel="0" collapsed="false">
      <c r="A16" s="4" t="s">
        <v>726</v>
      </c>
      <c r="B16" s="4" t="s">
        <v>727</v>
      </c>
      <c r="C16" s="4" t="s">
        <v>133</v>
      </c>
      <c r="D16" s="4" t="s">
        <v>135</v>
      </c>
      <c r="E16" s="4" t="s">
        <v>728</v>
      </c>
      <c r="F16" s="4" t="s">
        <v>147</v>
      </c>
      <c r="G16" s="10" t="n">
        <v>1634.32</v>
      </c>
      <c r="H16" s="10" t="n">
        <v>50.41</v>
      </c>
      <c r="I16" s="10" t="n">
        <v>1583.91</v>
      </c>
      <c r="J16" s="10" t="n">
        <f aca="false">ROUND(G16-H16-I16, 2)</f>
        <v>0</v>
      </c>
    </row>
    <row r="17" customFormat="false" ht="18.75" hidden="false" customHeight="true" outlineLevel="0" collapsed="false">
      <c r="A17" s="7" t="s">
        <v>726</v>
      </c>
      <c r="B17" s="7" t="s">
        <v>727</v>
      </c>
      <c r="C17" s="7" t="s">
        <v>133</v>
      </c>
      <c r="D17" s="7" t="s">
        <v>135</v>
      </c>
      <c r="E17" s="7" t="s">
        <v>728</v>
      </c>
      <c r="F17" s="7" t="s">
        <v>147</v>
      </c>
      <c r="G17" s="12" t="n">
        <v>1634.32</v>
      </c>
      <c r="H17" s="12" t="n">
        <v>50.41</v>
      </c>
      <c r="I17" s="12" t="n">
        <v>1583.91</v>
      </c>
      <c r="J17" s="12" t="n">
        <f aca="false">ROUND(G17-H17-I17, 2)</f>
        <v>0</v>
      </c>
    </row>
    <row r="18" customFormat="false" ht="18.75" hidden="false" customHeight="true" outlineLevel="0" collapsed="false">
      <c r="A18" s="4" t="s">
        <v>729</v>
      </c>
      <c r="B18" s="4" t="s">
        <v>730</v>
      </c>
      <c r="C18" s="4" t="s">
        <v>138</v>
      </c>
      <c r="D18" s="4" t="s">
        <v>140</v>
      </c>
      <c r="E18" s="4" t="s">
        <v>731</v>
      </c>
      <c r="F18" s="4" t="s">
        <v>147</v>
      </c>
      <c r="G18" s="10" t="n">
        <v>1807.61</v>
      </c>
      <c r="H18" s="10" t="n">
        <v>29.97</v>
      </c>
      <c r="I18" s="10" t="n">
        <v>1777.64</v>
      </c>
      <c r="J18" s="10" t="n">
        <f aca="false">ROUND(G18-H18-I18, 2)</f>
        <v>0</v>
      </c>
    </row>
    <row r="19" customFormat="false" ht="18.75" hidden="false" customHeight="true" outlineLevel="0" collapsed="false">
      <c r="A19" s="7" t="s">
        <v>729</v>
      </c>
      <c r="B19" s="7" t="s">
        <v>730</v>
      </c>
      <c r="C19" s="7" t="s">
        <v>138</v>
      </c>
      <c r="D19" s="7" t="s">
        <v>140</v>
      </c>
      <c r="E19" s="7" t="s">
        <v>731</v>
      </c>
      <c r="F19" s="7" t="s">
        <v>147</v>
      </c>
      <c r="G19" s="12" t="n">
        <v>1807.61</v>
      </c>
      <c r="H19" s="12" t="n">
        <v>29.97</v>
      </c>
      <c r="I19" s="12" t="n">
        <v>1777.64</v>
      </c>
      <c r="J19" s="12" t="n">
        <f aca="false">ROUND(G19-H19-I19, 2)</f>
        <v>0</v>
      </c>
    </row>
    <row r="20" customFormat="false" ht="18.75" hidden="false" customHeight="true" outlineLevel="0" collapsed="false">
      <c r="A20" s="4" t="s">
        <v>732</v>
      </c>
      <c r="B20" s="4" t="s">
        <v>733</v>
      </c>
      <c r="C20" s="4" t="s">
        <v>143</v>
      </c>
      <c r="D20" s="4" t="s">
        <v>145</v>
      </c>
      <c r="E20" s="4" t="s">
        <v>734</v>
      </c>
      <c r="F20" s="4" t="s">
        <v>167</v>
      </c>
      <c r="G20" s="10" t="n">
        <v>1980.9</v>
      </c>
      <c r="H20" s="10" t="n">
        <v>51.45</v>
      </c>
      <c r="I20" s="10" t="n">
        <v>1929.45</v>
      </c>
      <c r="J20" s="10" t="n">
        <f aca="false">ROUND(G20-H20-I20, 2)</f>
        <v>0</v>
      </c>
    </row>
    <row r="21" customFormat="false" ht="18.75" hidden="false" customHeight="true" outlineLevel="0" collapsed="false">
      <c r="A21" s="7" t="s">
        <v>732</v>
      </c>
      <c r="B21" s="7" t="s">
        <v>733</v>
      </c>
      <c r="C21" s="7" t="s">
        <v>143</v>
      </c>
      <c r="D21" s="7" t="s">
        <v>145</v>
      </c>
      <c r="E21" s="7" t="s">
        <v>734</v>
      </c>
      <c r="F21" s="7" t="s">
        <v>167</v>
      </c>
      <c r="G21" s="12" t="n">
        <v>1980.9</v>
      </c>
      <c r="H21" s="12" t="n">
        <v>51.45</v>
      </c>
      <c r="I21" s="12" t="n">
        <v>1929.45</v>
      </c>
      <c r="J21" s="12" t="n">
        <f aca="false">ROUND(G21-H21-I21, 2)</f>
        <v>0</v>
      </c>
    </row>
    <row r="22" customFormat="false" ht="18.75" hidden="false" customHeight="true" outlineLevel="0" collapsed="false">
      <c r="A22" s="4" t="s">
        <v>735</v>
      </c>
      <c r="B22" s="4" t="s">
        <v>736</v>
      </c>
      <c r="C22" s="4" t="s">
        <v>148</v>
      </c>
      <c r="D22" s="4" t="s">
        <v>150</v>
      </c>
      <c r="E22" s="4" t="s">
        <v>737</v>
      </c>
      <c r="F22" s="4" t="s">
        <v>172</v>
      </c>
      <c r="G22" s="10" t="n">
        <v>2153.19</v>
      </c>
      <c r="H22" s="10" t="n">
        <v>49.36</v>
      </c>
      <c r="I22" s="10" t="n">
        <v>2103.83</v>
      </c>
      <c r="J22" s="10" t="n">
        <f aca="false">ROUND(G22-H22-I22, 2)</f>
        <v>0</v>
      </c>
    </row>
    <row r="23" customFormat="false" ht="18.75" hidden="false" customHeight="true" outlineLevel="0" collapsed="false">
      <c r="A23" s="7" t="s">
        <v>735</v>
      </c>
      <c r="B23" s="7" t="s">
        <v>736</v>
      </c>
      <c r="C23" s="7" t="s">
        <v>148</v>
      </c>
      <c r="D23" s="7" t="s">
        <v>150</v>
      </c>
      <c r="E23" s="7" t="s">
        <v>737</v>
      </c>
      <c r="F23" s="7" t="s">
        <v>172</v>
      </c>
      <c r="G23" s="12" t="n">
        <v>2153.19</v>
      </c>
      <c r="H23" s="12" t="n">
        <v>49.36</v>
      </c>
      <c r="I23" s="12" t="n">
        <v>2103.83</v>
      </c>
      <c r="J23" s="12" t="n">
        <f aca="false">ROUND(G23-H23-I23, 2)</f>
        <v>0</v>
      </c>
    </row>
    <row r="24" customFormat="false" ht="18.75" hidden="false" customHeight="true" outlineLevel="0" collapsed="false">
      <c r="A24" s="4" t="s">
        <v>738</v>
      </c>
      <c r="B24" s="4" t="s">
        <v>739</v>
      </c>
      <c r="C24" s="4" t="s">
        <v>153</v>
      </c>
      <c r="D24" s="4" t="s">
        <v>155</v>
      </c>
      <c r="E24" s="4" t="s">
        <v>740</v>
      </c>
      <c r="F24" s="4" t="s">
        <v>167</v>
      </c>
      <c r="G24" s="10" t="n">
        <v>2326.48</v>
      </c>
      <c r="H24" s="10" t="n">
        <v>45.69</v>
      </c>
      <c r="I24" s="10" t="n">
        <v>2280.79</v>
      </c>
      <c r="J24" s="10" t="n">
        <f aca="false">ROUND(G24-H24-I24, 2)</f>
        <v>0</v>
      </c>
    </row>
    <row r="25" customFormat="false" ht="18.75" hidden="false" customHeight="true" outlineLevel="0" collapsed="false">
      <c r="A25" s="7" t="s">
        <v>738</v>
      </c>
      <c r="B25" s="7" t="s">
        <v>739</v>
      </c>
      <c r="C25" s="7" t="s">
        <v>153</v>
      </c>
      <c r="D25" s="7" t="s">
        <v>155</v>
      </c>
      <c r="E25" s="7" t="s">
        <v>740</v>
      </c>
      <c r="F25" s="7" t="s">
        <v>167</v>
      </c>
      <c r="G25" s="12" t="n">
        <v>2326.48</v>
      </c>
      <c r="H25" s="12" t="n">
        <v>45.69</v>
      </c>
      <c r="I25" s="12" t="n">
        <v>2280.79</v>
      </c>
      <c r="J25" s="12" t="n">
        <f aca="false">ROUND(G25-H25-I25, 2)</f>
        <v>0</v>
      </c>
    </row>
    <row r="26" customFormat="false" ht="18.75" hidden="false" customHeight="true" outlineLevel="0" collapsed="false">
      <c r="A26" s="4" t="s">
        <v>741</v>
      </c>
      <c r="B26" s="4" t="s">
        <v>742</v>
      </c>
      <c r="C26" s="4" t="s">
        <v>158</v>
      </c>
      <c r="D26" s="4" t="s">
        <v>160</v>
      </c>
      <c r="E26" s="4" t="s">
        <v>743</v>
      </c>
      <c r="F26" s="4" t="s">
        <v>172</v>
      </c>
      <c r="G26" s="10" t="n">
        <v>2499.77</v>
      </c>
      <c r="H26" s="10" t="n">
        <v>60.48</v>
      </c>
      <c r="I26" s="10" t="n">
        <v>2439.29</v>
      </c>
      <c r="J26" s="10" t="n">
        <f aca="false">ROUND(G26-H26-I26, 2)</f>
        <v>0</v>
      </c>
    </row>
    <row r="27" customFormat="false" ht="18.75" hidden="false" customHeight="true" outlineLevel="0" collapsed="false">
      <c r="A27" s="7" t="s">
        <v>741</v>
      </c>
      <c r="B27" s="7" t="s">
        <v>742</v>
      </c>
      <c r="C27" s="7" t="s">
        <v>158</v>
      </c>
      <c r="D27" s="7" t="s">
        <v>160</v>
      </c>
      <c r="E27" s="7" t="s">
        <v>743</v>
      </c>
      <c r="F27" s="7" t="s">
        <v>172</v>
      </c>
      <c r="G27" s="12" t="n">
        <v>2499.77</v>
      </c>
      <c r="H27" s="12" t="n">
        <v>60.48</v>
      </c>
      <c r="I27" s="12" t="n">
        <v>2439.29</v>
      </c>
      <c r="J27" s="12" t="n">
        <f aca="false">ROUND(G27-H27-I27, 2)</f>
        <v>0</v>
      </c>
    </row>
    <row r="28" customFormat="false" ht="18.75" hidden="false" customHeight="true" outlineLevel="0" collapsed="false">
      <c r="A28" s="4" t="s">
        <v>744</v>
      </c>
      <c r="B28" s="4" t="s">
        <v>745</v>
      </c>
      <c r="C28" s="4" t="s">
        <v>163</v>
      </c>
      <c r="D28" s="4" t="s">
        <v>165</v>
      </c>
      <c r="E28" s="4" t="s">
        <v>746</v>
      </c>
      <c r="F28" s="4" t="s">
        <v>172</v>
      </c>
      <c r="G28" s="10" t="n">
        <v>2672.06</v>
      </c>
      <c r="H28" s="10" t="n">
        <v>50.06</v>
      </c>
      <c r="I28" s="10" t="n">
        <v>2622</v>
      </c>
      <c r="J28" s="10" t="n">
        <f aca="false">ROUND(G28-H28-I28, 2)</f>
        <v>0</v>
      </c>
    </row>
    <row r="29" customFormat="false" ht="18.75" hidden="false" customHeight="true" outlineLevel="0" collapsed="false">
      <c r="A29" s="7" t="s">
        <v>744</v>
      </c>
      <c r="B29" s="7" t="s">
        <v>745</v>
      </c>
      <c r="C29" s="7" t="s">
        <v>163</v>
      </c>
      <c r="D29" s="7" t="s">
        <v>165</v>
      </c>
      <c r="E29" s="7" t="s">
        <v>746</v>
      </c>
      <c r="F29" s="7" t="s">
        <v>172</v>
      </c>
      <c r="G29" s="12" t="n">
        <v>2672.06</v>
      </c>
      <c r="H29" s="12" t="n">
        <v>50.06</v>
      </c>
      <c r="I29" s="12" t="n">
        <v>2622</v>
      </c>
      <c r="J29" s="12" t="n">
        <f aca="false">ROUND(G29-H29-I29, 2)</f>
        <v>0</v>
      </c>
    </row>
    <row r="30" customFormat="false" ht="18.75" hidden="false" customHeight="true" outlineLevel="0" collapsed="false">
      <c r="A30" s="4" t="s">
        <v>747</v>
      </c>
      <c r="B30" s="4" t="s">
        <v>748</v>
      </c>
      <c r="C30" s="4" t="s">
        <v>168</v>
      </c>
      <c r="D30" s="4" t="s">
        <v>170</v>
      </c>
      <c r="E30" s="4" t="s">
        <v>749</v>
      </c>
      <c r="F30" s="4" t="s">
        <v>182</v>
      </c>
      <c r="G30" s="10" t="n">
        <v>2845.35</v>
      </c>
      <c r="H30" s="10" t="n">
        <v>87.47</v>
      </c>
      <c r="I30" s="10" t="n">
        <v>2757.88</v>
      </c>
      <c r="J30" s="10" t="n">
        <f aca="false">ROUND(G30-H30-I30, 2)</f>
        <v>0</v>
      </c>
    </row>
    <row r="31" customFormat="false" ht="18.75" hidden="false" customHeight="true" outlineLevel="0" collapsed="false">
      <c r="A31" s="7" t="s">
        <v>747</v>
      </c>
      <c r="B31" s="7" t="s">
        <v>748</v>
      </c>
      <c r="C31" s="7" t="s">
        <v>168</v>
      </c>
      <c r="D31" s="7" t="s">
        <v>170</v>
      </c>
      <c r="E31" s="7" t="s">
        <v>749</v>
      </c>
      <c r="F31" s="7" t="s">
        <v>182</v>
      </c>
      <c r="G31" s="12" t="n">
        <v>2845.35</v>
      </c>
      <c r="H31" s="12" t="n">
        <v>87.47</v>
      </c>
      <c r="I31" s="12" t="n">
        <v>2757.88</v>
      </c>
      <c r="J31" s="12" t="n">
        <f aca="false">ROUND(G31-H31-I31, 2)</f>
        <v>0</v>
      </c>
    </row>
    <row r="32" customFormat="false" ht="18.75" hidden="false" customHeight="true" outlineLevel="0" collapsed="false">
      <c r="A32" s="4" t="s">
        <v>750</v>
      </c>
      <c r="B32" s="4" t="s">
        <v>751</v>
      </c>
      <c r="C32" s="4" t="s">
        <v>173</v>
      </c>
      <c r="D32" s="4" t="s">
        <v>175</v>
      </c>
      <c r="E32" s="4" t="s">
        <v>752</v>
      </c>
      <c r="F32" s="4" t="s">
        <v>187</v>
      </c>
      <c r="G32" s="10" t="n">
        <v>3018.64</v>
      </c>
      <c r="H32" s="10" t="n">
        <v>53.42</v>
      </c>
      <c r="I32" s="10" t="n">
        <v>2965.22</v>
      </c>
      <c r="J32" s="10" t="n">
        <f aca="false">ROUND(G32-H32-I32, 2)</f>
        <v>0</v>
      </c>
    </row>
    <row r="33" customFormat="false" ht="18.75" hidden="false" customHeight="true" outlineLevel="0" collapsed="false">
      <c r="A33" s="7" t="s">
        <v>750</v>
      </c>
      <c r="B33" s="7" t="s">
        <v>751</v>
      </c>
      <c r="C33" s="7" t="s">
        <v>173</v>
      </c>
      <c r="D33" s="7" t="s">
        <v>175</v>
      </c>
      <c r="E33" s="7" t="s">
        <v>752</v>
      </c>
      <c r="F33" s="7" t="s">
        <v>187</v>
      </c>
      <c r="G33" s="12" t="n">
        <v>3018.64</v>
      </c>
      <c r="H33" s="12" t="n">
        <v>53.42</v>
      </c>
      <c r="I33" s="12" t="n">
        <v>2965.22</v>
      </c>
      <c r="J33" s="12" t="n">
        <f aca="false">ROUND(G33-H33-I33, 2)</f>
        <v>0</v>
      </c>
    </row>
    <row r="34" customFormat="false" ht="18.75" hidden="false" customHeight="true" outlineLevel="0" collapsed="false">
      <c r="A34" s="4" t="s">
        <v>753</v>
      </c>
      <c r="B34" s="4" t="s">
        <v>754</v>
      </c>
      <c r="C34" s="4" t="s">
        <v>178</v>
      </c>
      <c r="D34" s="4" t="s">
        <v>180</v>
      </c>
      <c r="E34" s="4" t="s">
        <v>755</v>
      </c>
      <c r="F34" s="4" t="s">
        <v>202</v>
      </c>
      <c r="G34" s="10" t="n">
        <v>3191.93</v>
      </c>
      <c r="H34" s="10" t="n">
        <v>80.16</v>
      </c>
      <c r="I34" s="10" t="n">
        <v>3111.77</v>
      </c>
      <c r="J34" s="10" t="n">
        <f aca="false">ROUND(G34-H34-I34, 2)</f>
        <v>0</v>
      </c>
    </row>
    <row r="35" customFormat="false" ht="18.75" hidden="false" customHeight="true" outlineLevel="0" collapsed="false">
      <c r="A35" s="7" t="s">
        <v>753</v>
      </c>
      <c r="B35" s="7" t="s">
        <v>754</v>
      </c>
      <c r="C35" s="7" t="s">
        <v>178</v>
      </c>
      <c r="D35" s="7" t="s">
        <v>180</v>
      </c>
      <c r="E35" s="7" t="s">
        <v>755</v>
      </c>
      <c r="F35" s="7" t="s">
        <v>202</v>
      </c>
      <c r="G35" s="12" t="n">
        <v>3191.93</v>
      </c>
      <c r="H35" s="12" t="n">
        <v>80.16</v>
      </c>
      <c r="I35" s="12" t="n">
        <v>3111.77</v>
      </c>
      <c r="J35" s="12" t="n">
        <f aca="false">ROUND(G35-H35-I35, 2)</f>
        <v>0</v>
      </c>
    </row>
    <row r="36" customFormat="false" ht="18.75" hidden="false" customHeight="true" outlineLevel="0" collapsed="false">
      <c r="A36" s="4" t="s">
        <v>756</v>
      </c>
      <c r="B36" s="4" t="s">
        <v>757</v>
      </c>
      <c r="C36" s="4" t="s">
        <v>183</v>
      </c>
      <c r="D36" s="4" t="s">
        <v>185</v>
      </c>
      <c r="E36" s="4" t="s">
        <v>758</v>
      </c>
      <c r="F36" s="4" t="s">
        <v>207</v>
      </c>
      <c r="G36" s="10" t="n">
        <v>3364.22</v>
      </c>
      <c r="H36" s="10" t="n">
        <v>94.85</v>
      </c>
      <c r="I36" s="10" t="n">
        <v>3269.37</v>
      </c>
      <c r="J36" s="10" t="n">
        <f aca="false">ROUND(G36-H36-I36, 2)</f>
        <v>0</v>
      </c>
    </row>
    <row r="37" customFormat="false" ht="18.75" hidden="false" customHeight="true" outlineLevel="0" collapsed="false">
      <c r="A37" s="7" t="s">
        <v>756</v>
      </c>
      <c r="B37" s="7" t="s">
        <v>757</v>
      </c>
      <c r="C37" s="7" t="s">
        <v>183</v>
      </c>
      <c r="D37" s="7" t="s">
        <v>185</v>
      </c>
      <c r="E37" s="7" t="s">
        <v>758</v>
      </c>
      <c r="F37" s="7" t="s">
        <v>207</v>
      </c>
      <c r="G37" s="12" t="n">
        <v>3364.22</v>
      </c>
      <c r="H37" s="12" t="n">
        <v>94.85</v>
      </c>
      <c r="I37" s="12" t="n">
        <v>3269.37</v>
      </c>
      <c r="J37" s="12" t="n">
        <f aca="false">ROUND(G37-H37-I37, 2)</f>
        <v>0</v>
      </c>
    </row>
    <row r="38" customFormat="false" ht="18.75" hidden="false" customHeight="true" outlineLevel="0" collapsed="false">
      <c r="A38" s="4" t="s">
        <v>759</v>
      </c>
      <c r="B38" s="4" t="s">
        <v>760</v>
      </c>
      <c r="C38" s="4" t="s">
        <v>188</v>
      </c>
      <c r="D38" s="4" t="s">
        <v>190</v>
      </c>
      <c r="E38" s="4" t="s">
        <v>761</v>
      </c>
      <c r="F38" s="4" t="s">
        <v>207</v>
      </c>
      <c r="G38" s="10" t="n">
        <v>3537.51</v>
      </c>
      <c r="H38" s="10" t="n">
        <v>73.33</v>
      </c>
      <c r="I38" s="10" t="n">
        <v>3464.18</v>
      </c>
      <c r="J38" s="10" t="n">
        <f aca="false">ROUND(G38-H38-I38, 2)</f>
        <v>0</v>
      </c>
    </row>
    <row r="39" customFormat="false" ht="18.75" hidden="false" customHeight="true" outlineLevel="0" collapsed="false">
      <c r="A39" s="7" t="s">
        <v>759</v>
      </c>
      <c r="B39" s="7" t="s">
        <v>760</v>
      </c>
      <c r="C39" s="7" t="s">
        <v>188</v>
      </c>
      <c r="D39" s="7" t="s">
        <v>190</v>
      </c>
      <c r="E39" s="7" t="s">
        <v>761</v>
      </c>
      <c r="F39" s="7" t="s">
        <v>207</v>
      </c>
      <c r="G39" s="12" t="n">
        <v>3537.51</v>
      </c>
      <c r="H39" s="12" t="n">
        <v>73.33</v>
      </c>
      <c r="I39" s="12" t="n">
        <v>3464.18</v>
      </c>
      <c r="J39" s="12" t="n">
        <f aca="false">ROUND(G39-H39-I39, 2)</f>
        <v>0</v>
      </c>
    </row>
    <row r="40" customFormat="false" ht="18.75" hidden="false" customHeight="true" outlineLevel="0" collapsed="false">
      <c r="A40" s="4" t="s">
        <v>762</v>
      </c>
      <c r="B40" s="4" t="s">
        <v>763</v>
      </c>
      <c r="C40" s="4" t="s">
        <v>193</v>
      </c>
      <c r="D40" s="4" t="s">
        <v>195</v>
      </c>
      <c r="E40" s="4" t="s">
        <v>764</v>
      </c>
      <c r="F40" s="4" t="s">
        <v>202</v>
      </c>
      <c r="G40" s="10" t="n">
        <v>3710.8</v>
      </c>
      <c r="H40" s="10" t="n">
        <v>74.02</v>
      </c>
      <c r="I40" s="10" t="n">
        <v>3636.78</v>
      </c>
      <c r="J40" s="10" t="n">
        <f aca="false">ROUND(G40-H40-I40, 2)</f>
        <v>0</v>
      </c>
    </row>
    <row r="41" customFormat="false" ht="18.75" hidden="false" customHeight="true" outlineLevel="0" collapsed="false">
      <c r="A41" s="7" t="s">
        <v>762</v>
      </c>
      <c r="B41" s="7" t="s">
        <v>763</v>
      </c>
      <c r="C41" s="7" t="s">
        <v>193</v>
      </c>
      <c r="D41" s="7" t="s">
        <v>195</v>
      </c>
      <c r="E41" s="7" t="s">
        <v>764</v>
      </c>
      <c r="F41" s="7" t="s">
        <v>202</v>
      </c>
      <c r="G41" s="12" t="n">
        <v>3710.8</v>
      </c>
      <c r="H41" s="12" t="n">
        <v>74.02</v>
      </c>
      <c r="I41" s="12" t="n">
        <v>3636.78</v>
      </c>
      <c r="J41" s="12" t="n">
        <f aca="false">ROUND(G41-H41-I41, 2)</f>
        <v>0</v>
      </c>
    </row>
    <row r="42" customFormat="false" ht="18.75" hidden="false" customHeight="true" outlineLevel="0" collapsed="false">
      <c r="A42" s="4" t="s">
        <v>765</v>
      </c>
      <c r="B42" s="4" t="s">
        <v>766</v>
      </c>
      <c r="C42" s="4" t="s">
        <v>198</v>
      </c>
      <c r="D42" s="4" t="s">
        <v>200</v>
      </c>
      <c r="E42" s="4" t="s">
        <v>767</v>
      </c>
      <c r="F42" s="4" t="s">
        <v>212</v>
      </c>
      <c r="G42" s="10" t="n">
        <v>3883.09</v>
      </c>
      <c r="H42" s="10" t="n">
        <v>87.13</v>
      </c>
      <c r="I42" s="10" t="n">
        <v>3795.96</v>
      </c>
      <c r="J42" s="10" t="n">
        <f aca="false">ROUND(G42-H42-I42, 2)</f>
        <v>0</v>
      </c>
    </row>
    <row r="43" customFormat="false" ht="18.75" hidden="false" customHeight="true" outlineLevel="0" collapsed="false">
      <c r="A43" s="7" t="s">
        <v>765</v>
      </c>
      <c r="B43" s="7" t="s">
        <v>766</v>
      </c>
      <c r="C43" s="7" t="s">
        <v>198</v>
      </c>
      <c r="D43" s="7" t="s">
        <v>200</v>
      </c>
      <c r="E43" s="7" t="s">
        <v>767</v>
      </c>
      <c r="F43" s="7" t="s">
        <v>212</v>
      </c>
      <c r="G43" s="12" t="n">
        <v>3883.09</v>
      </c>
      <c r="H43" s="12" t="n">
        <v>87.13</v>
      </c>
      <c r="I43" s="12" t="n">
        <v>3795.96</v>
      </c>
      <c r="J43" s="12" t="n">
        <f aca="false">ROUND(G43-H43-I43, 2)</f>
        <v>0</v>
      </c>
    </row>
    <row r="44" customFormat="false" ht="18.75" hidden="false" customHeight="true" outlineLevel="0" collapsed="false">
      <c r="A44" s="4" t="s">
        <v>768</v>
      </c>
      <c r="B44" s="4" t="s">
        <v>769</v>
      </c>
      <c r="C44" s="4" t="s">
        <v>203</v>
      </c>
      <c r="D44" s="4" t="s">
        <v>205</v>
      </c>
      <c r="E44" s="4" t="s">
        <v>770</v>
      </c>
      <c r="F44" s="4" t="s">
        <v>217</v>
      </c>
      <c r="G44" s="10" t="n">
        <v>4056.38</v>
      </c>
      <c r="H44" s="10" t="n">
        <v>105.86</v>
      </c>
      <c r="I44" s="10" t="n">
        <v>3950.52</v>
      </c>
      <c r="J44" s="10" t="n">
        <f aca="false">ROUND(G44-H44-I44, 2)</f>
        <v>0</v>
      </c>
    </row>
    <row r="45" customFormat="false" ht="18.75" hidden="false" customHeight="true" outlineLevel="0" collapsed="false">
      <c r="A45" s="7" t="s">
        <v>768</v>
      </c>
      <c r="B45" s="7" t="s">
        <v>769</v>
      </c>
      <c r="C45" s="7" t="s">
        <v>203</v>
      </c>
      <c r="D45" s="7" t="s">
        <v>205</v>
      </c>
      <c r="E45" s="7" t="s">
        <v>770</v>
      </c>
      <c r="F45" s="7" t="s">
        <v>217</v>
      </c>
      <c r="G45" s="12" t="n">
        <v>4056.38</v>
      </c>
      <c r="H45" s="12" t="n">
        <v>105.86</v>
      </c>
      <c r="I45" s="12" t="n">
        <v>3950.52</v>
      </c>
      <c r="J45" s="12" t="n">
        <f aca="false">ROUND(G45-H45-I45, 2)</f>
        <v>0</v>
      </c>
    </row>
    <row r="46" customFormat="false" ht="18.75" hidden="false" customHeight="true" outlineLevel="0" collapsed="false">
      <c r="A46" s="4" t="s">
        <v>771</v>
      </c>
      <c r="B46" s="4" t="s">
        <v>772</v>
      </c>
      <c r="C46" s="4" t="s">
        <v>208</v>
      </c>
      <c r="D46" s="4" t="s">
        <v>210</v>
      </c>
      <c r="E46" s="4" t="s">
        <v>773</v>
      </c>
      <c r="F46" s="4" t="s">
        <v>217</v>
      </c>
      <c r="G46" s="10" t="n">
        <v>4229.67</v>
      </c>
      <c r="H46" s="10" t="n">
        <v>81.62</v>
      </c>
      <c r="I46" s="10" t="n">
        <v>4148.05</v>
      </c>
      <c r="J46" s="10" t="n">
        <f aca="false">ROUND(G46-H46-I46, 2)</f>
        <v>0</v>
      </c>
    </row>
    <row r="47" customFormat="false" ht="18.75" hidden="false" customHeight="true" outlineLevel="0" collapsed="false">
      <c r="A47" s="7" t="s">
        <v>771</v>
      </c>
      <c r="B47" s="7" t="s">
        <v>772</v>
      </c>
      <c r="C47" s="7" t="s">
        <v>208</v>
      </c>
      <c r="D47" s="7" t="s">
        <v>210</v>
      </c>
      <c r="E47" s="7" t="s">
        <v>773</v>
      </c>
      <c r="F47" s="7" t="s">
        <v>217</v>
      </c>
      <c r="G47" s="12" t="n">
        <v>4229.67</v>
      </c>
      <c r="H47" s="12" t="n">
        <v>81.62</v>
      </c>
      <c r="I47" s="12" t="n">
        <v>4148.05</v>
      </c>
      <c r="J47" s="12" t="n">
        <f aca="false">ROUND(G47-H47-I47, 2)</f>
        <v>0</v>
      </c>
    </row>
    <row r="48" customFormat="false" ht="18.75" hidden="false" customHeight="true" outlineLevel="0" collapsed="false">
      <c r="A48" s="4" t="s">
        <v>774</v>
      </c>
      <c r="B48" s="4" t="s">
        <v>775</v>
      </c>
      <c r="C48" s="4" t="s">
        <v>213</v>
      </c>
      <c r="D48" s="4" t="s">
        <v>215</v>
      </c>
      <c r="E48" s="4" t="s">
        <v>776</v>
      </c>
      <c r="F48" s="4" t="s">
        <v>234</v>
      </c>
      <c r="G48" s="10" t="n">
        <v>4402.96</v>
      </c>
      <c r="H48" s="10" t="n">
        <v>120.44</v>
      </c>
      <c r="I48" s="10" t="n">
        <v>4282.52</v>
      </c>
      <c r="J48" s="10" t="n">
        <f aca="false">ROUND(G48-H48-I48, 2)</f>
        <v>0</v>
      </c>
    </row>
    <row r="49" customFormat="false" ht="18.75" hidden="false" customHeight="true" outlineLevel="0" collapsed="false">
      <c r="A49" s="7" t="s">
        <v>774</v>
      </c>
      <c r="B49" s="7" t="s">
        <v>775</v>
      </c>
      <c r="C49" s="7" t="s">
        <v>213</v>
      </c>
      <c r="D49" s="7" t="s">
        <v>215</v>
      </c>
      <c r="E49" s="7" t="s">
        <v>776</v>
      </c>
      <c r="F49" s="7" t="s">
        <v>234</v>
      </c>
      <c r="G49" s="12" t="n">
        <v>4402.96</v>
      </c>
      <c r="H49" s="12" t="n">
        <v>120.44</v>
      </c>
      <c r="I49" s="12" t="n">
        <v>4282.52</v>
      </c>
      <c r="J49" s="12" t="n">
        <f aca="false">ROUND(G49-H49-I49, 2)</f>
        <v>0</v>
      </c>
    </row>
    <row r="50" customFormat="false" ht="18.75" hidden="false" customHeight="true" outlineLevel="0" collapsed="false">
      <c r="A50" s="4" t="s">
        <v>777</v>
      </c>
      <c r="B50" s="4" t="s">
        <v>778</v>
      </c>
      <c r="C50" s="4" t="s">
        <v>218</v>
      </c>
      <c r="D50" s="4" t="s">
        <v>220</v>
      </c>
      <c r="E50" s="4" t="s">
        <v>779</v>
      </c>
      <c r="F50" s="4" t="s">
        <v>234</v>
      </c>
      <c r="G50" s="10" t="n">
        <v>4575.25</v>
      </c>
      <c r="H50" s="10" t="n">
        <v>82.75</v>
      </c>
      <c r="I50" s="10" t="n">
        <v>4492.5</v>
      </c>
      <c r="J50" s="10" t="n">
        <f aca="false">ROUND(G50-H50-I50, 2)</f>
        <v>0</v>
      </c>
    </row>
    <row r="51" customFormat="false" ht="18.75" hidden="false" customHeight="true" outlineLevel="0" collapsed="false">
      <c r="A51" s="7" t="s">
        <v>777</v>
      </c>
      <c r="B51" s="7" t="s">
        <v>778</v>
      </c>
      <c r="C51" s="7" t="s">
        <v>218</v>
      </c>
      <c r="D51" s="7" t="s">
        <v>220</v>
      </c>
      <c r="E51" s="7" t="s">
        <v>779</v>
      </c>
      <c r="F51" s="7" t="s">
        <v>234</v>
      </c>
      <c r="G51" s="12" t="n">
        <v>4575.25</v>
      </c>
      <c r="H51" s="12" t="n">
        <v>82.75</v>
      </c>
      <c r="I51" s="12" t="n">
        <v>4492.5</v>
      </c>
      <c r="J51" s="12" t="n">
        <f aca="false">ROUND(G51-H51-I51, 2)</f>
        <v>0</v>
      </c>
    </row>
    <row r="52" customFormat="false" ht="18.75" hidden="false" customHeight="true" outlineLevel="0" collapsed="false">
      <c r="A52" s="4" t="s">
        <v>780</v>
      </c>
      <c r="B52" s="4" t="s">
        <v>781</v>
      </c>
      <c r="C52" s="4" t="s">
        <v>223</v>
      </c>
      <c r="D52" s="4" t="s">
        <v>99</v>
      </c>
      <c r="E52" s="4" t="s">
        <v>779</v>
      </c>
      <c r="F52" s="4" t="s">
        <v>234</v>
      </c>
      <c r="G52" s="10" t="n">
        <v>4748.54</v>
      </c>
      <c r="H52" s="10" t="n">
        <v>103.21</v>
      </c>
      <c r="I52" s="10" t="n">
        <v>4645.33</v>
      </c>
      <c r="J52" s="10" t="n">
        <f aca="false">ROUND(G52-H52-I52, 2)</f>
        <v>0</v>
      </c>
    </row>
    <row r="53" customFormat="false" ht="18.75" hidden="false" customHeight="true" outlineLevel="0" collapsed="false">
      <c r="A53" s="7" t="s">
        <v>782</v>
      </c>
      <c r="B53" s="7" t="s">
        <v>783</v>
      </c>
      <c r="C53" s="7" t="s">
        <v>227</v>
      </c>
      <c r="D53" s="7" t="s">
        <v>105</v>
      </c>
      <c r="E53" s="7" t="s">
        <v>784</v>
      </c>
      <c r="F53" s="7" t="s">
        <v>234</v>
      </c>
      <c r="G53" s="12" t="n">
        <v>4921.83</v>
      </c>
      <c r="H53" s="12" t="n">
        <v>83.08</v>
      </c>
      <c r="I53" s="12" t="n">
        <v>4838.75</v>
      </c>
      <c r="J53" s="12" t="n">
        <f aca="false">ROUND(G53-H53-I53, 2)</f>
        <v>0</v>
      </c>
    </row>
    <row r="54" customFormat="false" ht="18.75" hidden="false" customHeight="true" outlineLevel="0" collapsed="false">
      <c r="A54" s="4" t="s">
        <v>785</v>
      </c>
      <c r="B54" s="4" t="s">
        <v>786</v>
      </c>
      <c r="C54" s="4" t="s">
        <v>231</v>
      </c>
      <c r="D54" s="4" t="s">
        <v>110</v>
      </c>
      <c r="E54" s="4" t="s">
        <v>787</v>
      </c>
      <c r="F54" s="4" t="s">
        <v>242</v>
      </c>
      <c r="G54" s="10" t="n">
        <v>5094.12</v>
      </c>
      <c r="H54" s="10" t="n">
        <v>135.78</v>
      </c>
      <c r="I54" s="10" t="n">
        <v>4958.34</v>
      </c>
      <c r="J54" s="10" t="n">
        <f aca="false">ROUND(G54-H54-I54, 2)</f>
        <v>0</v>
      </c>
    </row>
    <row r="55" customFormat="false" ht="18.75" hidden="false" customHeight="true" outlineLevel="0" collapsed="false">
      <c r="A55" s="7" t="s">
        <v>788</v>
      </c>
      <c r="B55" s="7" t="s">
        <v>789</v>
      </c>
      <c r="C55" s="7" t="s">
        <v>235</v>
      </c>
      <c r="D55" s="7" t="s">
        <v>115</v>
      </c>
      <c r="E55" s="7" t="s">
        <v>790</v>
      </c>
      <c r="F55" s="7" t="s">
        <v>246</v>
      </c>
      <c r="G55" s="12" t="n">
        <v>5267.41</v>
      </c>
      <c r="H55" s="12" t="n">
        <v>111.13</v>
      </c>
      <c r="I55" s="12" t="n">
        <v>5156.28</v>
      </c>
      <c r="J55" s="12" t="n">
        <f aca="false">ROUND(G55-H55-I55, 2)</f>
        <v>0</v>
      </c>
    </row>
    <row r="56" customFormat="false" ht="18.75" hidden="false" customHeight="true" outlineLevel="0" collapsed="false">
      <c r="A56" s="4" t="s">
        <v>791</v>
      </c>
      <c r="B56" s="4" t="s">
        <v>792</v>
      </c>
      <c r="C56" s="4" t="s">
        <v>239</v>
      </c>
      <c r="D56" s="4" t="s">
        <v>120</v>
      </c>
      <c r="E56" s="4" t="s">
        <v>793</v>
      </c>
      <c r="F56" s="4" t="s">
        <v>250</v>
      </c>
      <c r="G56" s="10" t="n">
        <v>5440.7</v>
      </c>
      <c r="H56" s="10" t="n">
        <v>131.35</v>
      </c>
      <c r="I56" s="10" t="n">
        <v>5309.35</v>
      </c>
      <c r="J56" s="10" t="n">
        <f aca="false">ROUND(G56-H56-I56, 2)</f>
        <v>0</v>
      </c>
    </row>
    <row r="57" customFormat="false" ht="18.75" hidden="false" customHeight="true" outlineLevel="0" collapsed="false">
      <c r="A57" s="7" t="s">
        <v>794</v>
      </c>
      <c r="B57" s="7" t="s">
        <v>795</v>
      </c>
      <c r="C57" s="7" t="s">
        <v>243</v>
      </c>
      <c r="D57" s="7" t="s">
        <v>125</v>
      </c>
      <c r="E57" s="7" t="s">
        <v>796</v>
      </c>
      <c r="F57" s="7" t="s">
        <v>262</v>
      </c>
      <c r="G57" s="12" t="n">
        <v>5613.99</v>
      </c>
      <c r="H57" s="12" t="n">
        <v>128.23</v>
      </c>
      <c r="I57" s="12" t="n">
        <v>5485.76</v>
      </c>
      <c r="J57" s="12" t="n">
        <f aca="false">ROUND(G57-H57-I57, 2)</f>
        <v>0</v>
      </c>
    </row>
    <row r="58" customFormat="false" ht="18.75" hidden="false" customHeight="true" outlineLevel="0" collapsed="false">
      <c r="A58" s="4" t="s">
        <v>797</v>
      </c>
      <c r="B58" s="4" t="s">
        <v>798</v>
      </c>
      <c r="C58" s="4" t="s">
        <v>247</v>
      </c>
      <c r="D58" s="4" t="s">
        <v>130</v>
      </c>
      <c r="E58" s="4" t="s">
        <v>799</v>
      </c>
      <c r="F58" s="4" t="s">
        <v>262</v>
      </c>
      <c r="G58" s="10" t="n">
        <v>5786.28</v>
      </c>
      <c r="H58" s="10" t="n">
        <v>104.18</v>
      </c>
      <c r="I58" s="10" t="n">
        <v>5682.1</v>
      </c>
      <c r="J58" s="10" t="n">
        <f aca="false">ROUND(G58-H58-I58, 2)</f>
        <v>0</v>
      </c>
    </row>
    <row r="59" customFormat="false" ht="18.75" hidden="false" customHeight="true" outlineLevel="0" collapsed="false">
      <c r="A59" s="7" t="s">
        <v>800</v>
      </c>
      <c r="B59" s="7" t="s">
        <v>801</v>
      </c>
      <c r="C59" s="7" t="s">
        <v>251</v>
      </c>
      <c r="D59" s="7" t="s">
        <v>135</v>
      </c>
      <c r="E59" s="7" t="s">
        <v>802</v>
      </c>
      <c r="F59" s="7" t="s">
        <v>266</v>
      </c>
      <c r="G59" s="12" t="n">
        <v>5959.57</v>
      </c>
      <c r="H59" s="12" t="n">
        <v>172.91</v>
      </c>
      <c r="I59" s="12" t="n">
        <v>5786.66</v>
      </c>
      <c r="J59" s="12" t="n">
        <f aca="false">ROUND(G59-H59-I59, 2)</f>
        <v>0</v>
      </c>
    </row>
    <row r="60" customFormat="false" ht="18.75" hidden="false" customHeight="true" outlineLevel="0" collapsed="false">
      <c r="A60" s="4" t="s">
        <v>803</v>
      </c>
      <c r="B60" s="4" t="s">
        <v>804</v>
      </c>
      <c r="C60" s="4" t="s">
        <v>255</v>
      </c>
      <c r="D60" s="4" t="s">
        <v>140</v>
      </c>
      <c r="E60" s="4" t="s">
        <v>805</v>
      </c>
      <c r="F60" s="4" t="s">
        <v>262</v>
      </c>
      <c r="G60" s="10" t="n">
        <v>6132.86</v>
      </c>
      <c r="H60" s="10" t="n">
        <v>98.87</v>
      </c>
      <c r="I60" s="10" t="n">
        <v>6033.99</v>
      </c>
      <c r="J60" s="10" t="n">
        <f aca="false">ROUND(G60-H60-I60, 2)</f>
        <v>0</v>
      </c>
    </row>
    <row r="61" customFormat="false" ht="18.75" hidden="false" customHeight="true" outlineLevel="0" collapsed="false">
      <c r="A61" s="7" t="s">
        <v>806</v>
      </c>
      <c r="B61" s="7" t="s">
        <v>807</v>
      </c>
      <c r="C61" s="7" t="s">
        <v>259</v>
      </c>
      <c r="D61" s="7" t="s">
        <v>145</v>
      </c>
      <c r="E61" s="7" t="s">
        <v>808</v>
      </c>
      <c r="F61" s="7" t="s">
        <v>270</v>
      </c>
      <c r="G61" s="12" t="n">
        <v>6305.15</v>
      </c>
      <c r="H61" s="12" t="n">
        <v>158.6</v>
      </c>
      <c r="I61" s="12" t="n">
        <v>6146.55</v>
      </c>
      <c r="J61" s="12" t="n">
        <f aca="false">ROUND(G61-H61-I61, 2)</f>
        <v>0</v>
      </c>
    </row>
    <row r="62" customFormat="false" ht="18.75" hidden="false" customHeight="true" outlineLevel="0" collapsed="false">
      <c r="A62" s="4" t="s">
        <v>809</v>
      </c>
      <c r="B62" s="4" t="s">
        <v>810</v>
      </c>
      <c r="C62" s="4" t="s">
        <v>263</v>
      </c>
      <c r="D62" s="4" t="s">
        <v>150</v>
      </c>
      <c r="E62" s="4" t="s">
        <v>811</v>
      </c>
      <c r="F62" s="4" t="s">
        <v>274</v>
      </c>
      <c r="G62" s="10" t="n">
        <v>6478.44</v>
      </c>
      <c r="H62" s="10" t="n">
        <v>143.78</v>
      </c>
      <c r="I62" s="10" t="n">
        <v>6334.66</v>
      </c>
      <c r="J62" s="10" t="n">
        <f aca="false">ROUND(G62-H62-I62, 2)</f>
        <v>0</v>
      </c>
    </row>
    <row r="63" customFormat="false" ht="18.75" hidden="false" customHeight="true" outlineLevel="0" collapsed="false">
      <c r="A63" s="7" t="s">
        <v>812</v>
      </c>
      <c r="B63" s="7" t="s">
        <v>813</v>
      </c>
      <c r="C63" s="7" t="s">
        <v>267</v>
      </c>
      <c r="D63" s="7" t="s">
        <v>155</v>
      </c>
      <c r="E63" s="7" t="s">
        <v>814</v>
      </c>
      <c r="F63" s="7" t="s">
        <v>274</v>
      </c>
      <c r="G63" s="12" t="n">
        <v>6651.73</v>
      </c>
      <c r="H63" s="12" t="n">
        <v>127.36</v>
      </c>
      <c r="I63" s="12" t="n">
        <v>6524.37</v>
      </c>
      <c r="J63" s="12" t="n">
        <f aca="false">ROUND(G63-H63-I63, 2)</f>
        <v>0</v>
      </c>
    </row>
    <row r="64" customFormat="false" ht="18.75" hidden="false" customHeight="true" outlineLevel="0" collapsed="false">
      <c r="A64" s="4" t="s">
        <v>815</v>
      </c>
      <c r="B64" s="4" t="s">
        <v>816</v>
      </c>
      <c r="C64" s="4" t="s">
        <v>271</v>
      </c>
      <c r="D64" s="4" t="s">
        <v>160</v>
      </c>
      <c r="E64" s="4" t="s">
        <v>817</v>
      </c>
      <c r="F64" s="4" t="s">
        <v>290</v>
      </c>
      <c r="G64" s="10" t="n">
        <v>6824.02</v>
      </c>
      <c r="H64" s="10" t="n">
        <v>159.97</v>
      </c>
      <c r="I64" s="10" t="n">
        <v>6664.05</v>
      </c>
      <c r="J64" s="10" t="n">
        <f aca="false">ROUND(G64-H64-I64, 2)</f>
        <v>0</v>
      </c>
    </row>
    <row r="65" customFormat="false" ht="18.75" hidden="false" customHeight="true" outlineLevel="0" collapsed="false">
      <c r="A65" s="7" t="s">
        <v>818</v>
      </c>
      <c r="B65" s="7" t="s">
        <v>819</v>
      </c>
      <c r="C65" s="7" t="s">
        <v>275</v>
      </c>
      <c r="D65" s="7" t="s">
        <v>165</v>
      </c>
      <c r="E65" s="7" t="s">
        <v>820</v>
      </c>
      <c r="F65" s="7" t="s">
        <v>290</v>
      </c>
      <c r="G65" s="12" t="n">
        <v>6997.31</v>
      </c>
      <c r="H65" s="12" t="n">
        <v>129.16</v>
      </c>
      <c r="I65" s="12" t="n">
        <v>6868.15</v>
      </c>
      <c r="J65" s="12" t="n">
        <f aca="false">ROUND(G65-H65-I65, 2)</f>
        <v>0</v>
      </c>
    </row>
    <row r="66" customFormat="false" ht="18.75" hidden="false" customHeight="true" outlineLevel="0" collapsed="false">
      <c r="A66" s="4" t="s">
        <v>821</v>
      </c>
      <c r="B66" s="4" t="s">
        <v>822</v>
      </c>
      <c r="C66" s="4" t="s">
        <v>279</v>
      </c>
      <c r="D66" s="4" t="s">
        <v>170</v>
      </c>
      <c r="E66" s="4" t="s">
        <v>823</v>
      </c>
      <c r="F66" s="4" t="s">
        <v>294</v>
      </c>
      <c r="G66" s="10" t="n">
        <v>7170.6</v>
      </c>
      <c r="H66" s="10" t="n">
        <v>215.08</v>
      </c>
      <c r="I66" s="10" t="n">
        <v>6955.52</v>
      </c>
      <c r="J66" s="10" t="n">
        <f aca="false">ROUND(G66-H66-I66, 2)</f>
        <v>0</v>
      </c>
    </row>
    <row r="67" customFormat="false" ht="18.75" hidden="false" customHeight="true" outlineLevel="0" collapsed="false">
      <c r="A67" s="7" t="s">
        <v>824</v>
      </c>
      <c r="B67" s="7" t="s">
        <v>825</v>
      </c>
      <c r="C67" s="7" t="s">
        <v>283</v>
      </c>
      <c r="D67" s="7" t="s">
        <v>175</v>
      </c>
      <c r="E67" s="7" t="s">
        <v>826</v>
      </c>
      <c r="F67" s="7" t="s">
        <v>294</v>
      </c>
      <c r="G67" s="12" t="n">
        <v>7343.89</v>
      </c>
      <c r="H67" s="12" t="n">
        <v>127.43</v>
      </c>
      <c r="I67" s="12" t="n">
        <v>7216.46</v>
      </c>
      <c r="J67" s="12" t="n">
        <f aca="false">ROUND(G67-H67-I67, 2)</f>
        <v>0</v>
      </c>
    </row>
    <row r="68" customFormat="false" ht="18.75" hidden="false" customHeight="true" outlineLevel="0" collapsed="false">
      <c r="A68" s="4" t="s">
        <v>827</v>
      </c>
      <c r="B68" s="4" t="s">
        <v>828</v>
      </c>
      <c r="C68" s="4" t="s">
        <v>287</v>
      </c>
      <c r="D68" s="4" t="s">
        <v>180</v>
      </c>
      <c r="E68" s="4" t="s">
        <v>829</v>
      </c>
      <c r="F68" s="4" t="s">
        <v>298</v>
      </c>
      <c r="G68" s="10" t="n">
        <v>7516.18</v>
      </c>
      <c r="H68" s="10" t="n">
        <v>184.76</v>
      </c>
      <c r="I68" s="10" t="n">
        <v>7331.42</v>
      </c>
      <c r="J68" s="10" t="n">
        <f aca="false">ROUND(G68-H68-I68, 2)</f>
        <v>0</v>
      </c>
    </row>
    <row r="69" customFormat="false" ht="18.75" hidden="false" customHeight="true" outlineLevel="0" collapsed="false">
      <c r="A69" s="7" t="s">
        <v>830</v>
      </c>
      <c r="B69" s="7" t="s">
        <v>831</v>
      </c>
      <c r="C69" s="7" t="s">
        <v>291</v>
      </c>
      <c r="D69" s="7" t="s">
        <v>185</v>
      </c>
      <c r="E69" s="7" t="s">
        <v>832</v>
      </c>
      <c r="F69" s="7" t="s">
        <v>302</v>
      </c>
      <c r="G69" s="12" t="n">
        <v>7689.47</v>
      </c>
      <c r="H69" s="12" t="n">
        <v>212.23</v>
      </c>
      <c r="I69" s="12" t="n">
        <v>7477.24</v>
      </c>
      <c r="J69" s="12" t="n">
        <f aca="false">ROUND(G69-H69-I69, 2)</f>
        <v>0</v>
      </c>
    </row>
    <row r="70" customFormat="false" ht="18.75" hidden="false" customHeight="true" outlineLevel="0" collapsed="false">
      <c r="A70" s="4" t="s">
        <v>833</v>
      </c>
      <c r="B70" s="4" t="s">
        <v>834</v>
      </c>
      <c r="C70" s="4" t="s">
        <v>295</v>
      </c>
      <c r="D70" s="4" t="s">
        <v>190</v>
      </c>
      <c r="E70" s="4" t="s">
        <v>835</v>
      </c>
      <c r="F70" s="4" t="s">
        <v>306</v>
      </c>
      <c r="G70" s="10" t="n">
        <v>7862.76</v>
      </c>
      <c r="H70" s="10" t="n">
        <v>160.09</v>
      </c>
      <c r="I70" s="10" t="n">
        <v>7702.67</v>
      </c>
      <c r="J70" s="10" t="n">
        <f aca="false">ROUND(G70-H70-I70, 2)</f>
        <v>0</v>
      </c>
    </row>
    <row r="71" customFormat="false" ht="18.75" hidden="false" customHeight="true" outlineLevel="0" collapsed="false">
      <c r="A71" s="7" t="s">
        <v>836</v>
      </c>
      <c r="B71" s="7" t="s">
        <v>837</v>
      </c>
      <c r="C71" s="7" t="s">
        <v>299</v>
      </c>
      <c r="D71" s="7" t="s">
        <v>195</v>
      </c>
      <c r="E71" s="7" t="s">
        <v>838</v>
      </c>
      <c r="F71" s="7" t="s">
        <v>306</v>
      </c>
      <c r="G71" s="12" t="n">
        <v>8035.05</v>
      </c>
      <c r="H71" s="12" t="n">
        <v>158.21</v>
      </c>
      <c r="I71" s="12" t="n">
        <v>7876.84</v>
      </c>
      <c r="J71" s="12" t="n">
        <f aca="false">ROUND(G71-H71-I71, 2)</f>
        <v>0</v>
      </c>
    </row>
    <row r="72" customFormat="false" ht="18.75" hidden="false" customHeight="true" outlineLevel="0" collapsed="false">
      <c r="A72" s="4" t="s">
        <v>839</v>
      </c>
      <c r="B72" s="4" t="s">
        <v>840</v>
      </c>
      <c r="C72" s="4" t="s">
        <v>303</v>
      </c>
      <c r="D72" s="4" t="s">
        <v>200</v>
      </c>
      <c r="E72" s="4" t="s">
        <v>841</v>
      </c>
      <c r="F72" s="4" t="s">
        <v>322</v>
      </c>
      <c r="G72" s="10" t="n">
        <v>8208.34</v>
      </c>
      <c r="H72" s="10" t="n">
        <v>181.54</v>
      </c>
      <c r="I72" s="10" t="n">
        <v>8026.8</v>
      </c>
      <c r="J72" s="10" t="n">
        <f aca="false">ROUND(G72-H72-I72, 2)</f>
        <v>0</v>
      </c>
    </row>
    <row r="73" customFormat="false" ht="18.75" hidden="false" customHeight="true" outlineLevel="0" collapsed="false">
      <c r="A73" s="7" t="s">
        <v>842</v>
      </c>
      <c r="B73" s="7" t="s">
        <v>843</v>
      </c>
      <c r="C73" s="7" t="s">
        <v>307</v>
      </c>
      <c r="D73" s="7" t="s">
        <v>205</v>
      </c>
      <c r="E73" s="7" t="s">
        <v>844</v>
      </c>
      <c r="F73" s="7" t="s">
        <v>322</v>
      </c>
      <c r="G73" s="12" t="n">
        <v>8381.63</v>
      </c>
      <c r="H73" s="12" t="n">
        <v>215.6</v>
      </c>
      <c r="I73" s="12" t="n">
        <v>8166.03</v>
      </c>
      <c r="J73" s="12" t="n">
        <f aca="false">ROUND(G73-H73-I73, 2)</f>
        <v>0</v>
      </c>
    </row>
    <row r="74" customFormat="false" ht="18.75" hidden="false" customHeight="true" outlineLevel="0" collapsed="false">
      <c r="A74" s="4" t="s">
        <v>845</v>
      </c>
      <c r="B74" s="4" t="s">
        <v>846</v>
      </c>
      <c r="C74" s="4" t="s">
        <v>311</v>
      </c>
      <c r="D74" s="4" t="s">
        <v>210</v>
      </c>
      <c r="E74" s="4" t="s">
        <v>847</v>
      </c>
      <c r="F74" s="4" t="s">
        <v>318</v>
      </c>
      <c r="G74" s="10" t="n">
        <v>8554.92</v>
      </c>
      <c r="H74" s="10" t="n">
        <v>163.29</v>
      </c>
      <c r="I74" s="10" t="n">
        <v>8391.63</v>
      </c>
      <c r="J74" s="10" t="n">
        <f aca="false">ROUND(G74-H74-I74, 2)</f>
        <v>0</v>
      </c>
    </row>
    <row r="75" customFormat="false" ht="18.75" hidden="false" customHeight="true" outlineLevel="0" collapsed="false">
      <c r="A75" s="7" t="s">
        <v>848</v>
      </c>
      <c r="B75" s="7" t="s">
        <v>849</v>
      </c>
      <c r="C75" s="7" t="s">
        <v>315</v>
      </c>
      <c r="D75" s="7" t="s">
        <v>215</v>
      </c>
      <c r="E75" s="7" t="s">
        <v>850</v>
      </c>
      <c r="F75" s="7" t="s">
        <v>851</v>
      </c>
      <c r="G75" s="12" t="n">
        <v>8727.21</v>
      </c>
      <c r="H75" s="12" t="n">
        <v>235.24</v>
      </c>
      <c r="I75" s="12" t="n">
        <v>8491.97</v>
      </c>
      <c r="J75" s="12" t="n">
        <f aca="false">ROUND(G75-H75-I75, 2)</f>
        <v>0</v>
      </c>
    </row>
    <row r="76" customFormat="false" ht="18.75" hidden="false" customHeight="true" outlineLevel="0" collapsed="false">
      <c r="A76" s="4" t="s">
        <v>852</v>
      </c>
      <c r="B76" s="4" t="s">
        <v>853</v>
      </c>
      <c r="C76" s="4" t="s">
        <v>319</v>
      </c>
      <c r="D76" s="4" t="s">
        <v>220</v>
      </c>
      <c r="E76" s="4" t="s">
        <v>854</v>
      </c>
      <c r="F76" s="4" t="s">
        <v>851</v>
      </c>
      <c r="G76" s="10" t="n">
        <v>8900.5</v>
      </c>
      <c r="H76" s="10" t="n">
        <v>159.31</v>
      </c>
      <c r="I76" s="10" t="n">
        <v>8741.19</v>
      </c>
      <c r="J76" s="10" t="n">
        <f aca="false">ROUND(G76-H76-I76, 2)</f>
        <v>0</v>
      </c>
    </row>
    <row r="77" customFormat="false" ht="18.75" hidden="false" customHeight="true" outlineLevel="0" collapsed="false">
      <c r="A77" s="7" t="s">
        <v>855</v>
      </c>
      <c r="B77" s="7" t="s">
        <v>856</v>
      </c>
      <c r="C77" s="7" t="s">
        <v>323</v>
      </c>
      <c r="D77" s="7" t="s">
        <v>99</v>
      </c>
      <c r="E77" s="7" t="s">
        <v>707</v>
      </c>
      <c r="F77" s="7" t="s">
        <v>107</v>
      </c>
      <c r="G77" s="12" t="n">
        <v>9073.79</v>
      </c>
      <c r="H77" s="12" t="n">
        <v>195.09</v>
      </c>
      <c r="I77" s="12" t="n">
        <v>8878.7</v>
      </c>
      <c r="J77" s="12" t="n">
        <f aca="false">ROUND(G77-H77-I77, 2)</f>
        <v>0</v>
      </c>
    </row>
    <row r="78" customFormat="false" ht="18.75" hidden="false" customHeight="true" outlineLevel="0" collapsed="false">
      <c r="A78" s="4" t="s">
        <v>857</v>
      </c>
      <c r="B78" s="4" t="s">
        <v>858</v>
      </c>
      <c r="C78" s="4" t="s">
        <v>326</v>
      </c>
      <c r="D78" s="4" t="s">
        <v>105</v>
      </c>
      <c r="E78" s="4" t="s">
        <v>710</v>
      </c>
      <c r="F78" s="4" t="s">
        <v>112</v>
      </c>
      <c r="G78" s="10" t="n">
        <v>9246.08</v>
      </c>
      <c r="H78" s="10" t="n">
        <v>154.52</v>
      </c>
      <c r="I78" s="10" t="n">
        <v>9091.56</v>
      </c>
      <c r="J78" s="10" t="n">
        <f aca="false">ROUND(G78-H78-I78, 2)</f>
        <v>0</v>
      </c>
    </row>
    <row r="79" customFormat="false" ht="18.75" hidden="false" customHeight="true" outlineLevel="0" collapsed="false">
      <c r="A79" s="7" t="s">
        <v>859</v>
      </c>
      <c r="B79" s="7" t="s">
        <v>860</v>
      </c>
      <c r="C79" s="7" t="s">
        <v>329</v>
      </c>
      <c r="D79" s="7" t="s">
        <v>110</v>
      </c>
      <c r="E79" s="7" t="s">
        <v>713</v>
      </c>
      <c r="F79" s="7" t="s">
        <v>132</v>
      </c>
      <c r="G79" s="12" t="n">
        <v>9419.37</v>
      </c>
      <c r="H79" s="12" t="n">
        <v>248.07</v>
      </c>
      <c r="I79" s="12" t="n">
        <v>9171.3</v>
      </c>
      <c r="J79" s="12" t="n">
        <f aca="false">ROUND(G79-H79-I79, 2)</f>
        <v>0</v>
      </c>
    </row>
    <row r="80" customFormat="false" ht="18.75" hidden="false" customHeight="true" outlineLevel="0" collapsed="false">
      <c r="A80" s="4" t="s">
        <v>861</v>
      </c>
      <c r="B80" s="4" t="s">
        <v>862</v>
      </c>
      <c r="C80" s="4" t="s">
        <v>332</v>
      </c>
      <c r="D80" s="4" t="s">
        <v>115</v>
      </c>
      <c r="E80" s="4" t="s">
        <v>716</v>
      </c>
      <c r="F80" s="4" t="s">
        <v>137</v>
      </c>
      <c r="G80" s="10" t="n">
        <v>9592.66</v>
      </c>
      <c r="H80" s="10" t="n">
        <v>200.45</v>
      </c>
      <c r="I80" s="10" t="n">
        <v>9392.21</v>
      </c>
      <c r="J80" s="10" t="n">
        <f aca="false">ROUND(G80-H80-I80, 2)</f>
        <v>0</v>
      </c>
    </row>
    <row r="81" customFormat="false" ht="18.75" hidden="false" customHeight="true" outlineLevel="0" collapsed="false">
      <c r="A81" s="7" t="s">
        <v>863</v>
      </c>
      <c r="B81" s="7" t="s">
        <v>864</v>
      </c>
      <c r="C81" s="7" t="s">
        <v>335</v>
      </c>
      <c r="D81" s="7" t="s">
        <v>120</v>
      </c>
      <c r="E81" s="7" t="s">
        <v>719</v>
      </c>
      <c r="F81" s="7" t="s">
        <v>137</v>
      </c>
      <c r="G81" s="12" t="n">
        <v>9765.95</v>
      </c>
      <c r="H81" s="12" t="n">
        <v>233.43</v>
      </c>
      <c r="I81" s="12" t="n">
        <v>9532.52</v>
      </c>
      <c r="J81" s="12" t="n">
        <f aca="false">ROUND(G81-H81-I81, 2)</f>
        <v>0</v>
      </c>
    </row>
    <row r="82" customFormat="false" ht="18.75" hidden="false" customHeight="true" outlineLevel="0" collapsed="false">
      <c r="A82" s="4" t="s">
        <v>865</v>
      </c>
      <c r="B82" s="4" t="s">
        <v>866</v>
      </c>
      <c r="C82" s="4" t="s">
        <v>338</v>
      </c>
      <c r="D82" s="4" t="s">
        <v>125</v>
      </c>
      <c r="E82" s="4" t="s">
        <v>722</v>
      </c>
      <c r="F82" s="4" t="s">
        <v>137</v>
      </c>
      <c r="G82" s="10" t="n">
        <v>9938.24</v>
      </c>
      <c r="H82" s="10" t="n">
        <v>225.18</v>
      </c>
      <c r="I82" s="10" t="n">
        <v>9713.06</v>
      </c>
      <c r="J82" s="10" t="n">
        <f aca="false">ROUND(G82-H82-I82, 2)</f>
        <v>0</v>
      </c>
    </row>
    <row r="83" customFormat="false" ht="18.75" hidden="false" customHeight="true" outlineLevel="0" collapsed="false">
      <c r="A83" s="7" t="s">
        <v>867</v>
      </c>
      <c r="B83" s="7" t="s">
        <v>868</v>
      </c>
      <c r="C83" s="7" t="s">
        <v>341</v>
      </c>
      <c r="D83" s="7" t="s">
        <v>130</v>
      </c>
      <c r="E83" s="7" t="s">
        <v>725</v>
      </c>
      <c r="F83" s="7" t="s">
        <v>137</v>
      </c>
      <c r="G83" s="12" t="n">
        <v>10111.53</v>
      </c>
      <c r="H83" s="12" t="n">
        <v>180.74</v>
      </c>
      <c r="I83" s="12" t="n">
        <v>9930.79</v>
      </c>
      <c r="J83" s="12" t="n">
        <f aca="false">ROUND(G83-H83-I83, 2)</f>
        <v>0</v>
      </c>
    </row>
    <row r="84" customFormat="false" ht="18.75" hidden="false" customHeight="true" outlineLevel="0" collapsed="false">
      <c r="A84" s="4" t="s">
        <v>869</v>
      </c>
      <c r="B84" s="4" t="s">
        <v>870</v>
      </c>
      <c r="C84" s="4" t="s">
        <v>344</v>
      </c>
      <c r="D84" s="4" t="s">
        <v>135</v>
      </c>
      <c r="E84" s="4" t="s">
        <v>728</v>
      </c>
      <c r="F84" s="4" t="s">
        <v>147</v>
      </c>
      <c r="G84" s="10" t="n">
        <v>10284.82</v>
      </c>
      <c r="H84" s="10" t="n">
        <v>295.4</v>
      </c>
      <c r="I84" s="10" t="n">
        <v>9989.42</v>
      </c>
      <c r="J84" s="10" t="n">
        <f aca="false">ROUND(G84-H84-I84, 2)</f>
        <v>0</v>
      </c>
    </row>
    <row r="85" customFormat="false" ht="18.75" hidden="false" customHeight="true" outlineLevel="0" collapsed="false">
      <c r="A85" s="7" t="s">
        <v>871</v>
      </c>
      <c r="B85" s="7" t="s">
        <v>872</v>
      </c>
      <c r="C85" s="7" t="s">
        <v>347</v>
      </c>
      <c r="D85" s="7" t="s">
        <v>140</v>
      </c>
      <c r="E85" s="7" t="s">
        <v>731</v>
      </c>
      <c r="F85" s="7" t="s">
        <v>147</v>
      </c>
      <c r="G85" s="12" t="n">
        <v>10457.11</v>
      </c>
      <c r="H85" s="12" t="n">
        <v>167.76</v>
      </c>
      <c r="I85" s="12" t="n">
        <v>10289.35</v>
      </c>
      <c r="J85" s="12" t="n">
        <f aca="false">ROUND(G85-H85-I85, 2)</f>
        <v>0</v>
      </c>
    </row>
    <row r="86" customFormat="false" ht="18.75" hidden="false" customHeight="true" outlineLevel="0" collapsed="false">
      <c r="A86" s="4" t="s">
        <v>873</v>
      </c>
      <c r="B86" s="4" t="s">
        <v>874</v>
      </c>
      <c r="C86" s="4" t="s">
        <v>350</v>
      </c>
      <c r="D86" s="4" t="s">
        <v>145</v>
      </c>
      <c r="E86" s="4" t="s">
        <v>734</v>
      </c>
      <c r="F86" s="4" t="s">
        <v>167</v>
      </c>
      <c r="G86" s="10" t="n">
        <v>10630.4</v>
      </c>
      <c r="H86" s="10" t="n">
        <v>265.78</v>
      </c>
      <c r="I86" s="10" t="n">
        <v>10364.62</v>
      </c>
      <c r="J86" s="10" t="n">
        <f aca="false">ROUND(G86-H86-I86, 2)</f>
        <v>0</v>
      </c>
    </row>
    <row r="87" customFormat="false" ht="18.75" hidden="false" customHeight="true" outlineLevel="0" collapsed="false">
      <c r="A87" s="7" t="s">
        <v>875</v>
      </c>
      <c r="B87" s="7" t="s">
        <v>876</v>
      </c>
      <c r="C87" s="7" t="s">
        <v>353</v>
      </c>
      <c r="D87" s="7" t="s">
        <v>150</v>
      </c>
      <c r="E87" s="7" t="s">
        <v>737</v>
      </c>
      <c r="F87" s="7" t="s">
        <v>172</v>
      </c>
      <c r="G87" s="12" t="n">
        <v>10803.69</v>
      </c>
      <c r="H87" s="12" t="n">
        <v>238.21</v>
      </c>
      <c r="I87" s="12" t="n">
        <v>10565.48</v>
      </c>
      <c r="J87" s="12" t="n">
        <f aca="false">ROUND(G87-H87-I87, 2)</f>
        <v>0</v>
      </c>
    </row>
    <row r="88" customFormat="false" ht="18.75" hidden="false" customHeight="true" outlineLevel="0" collapsed="false">
      <c r="A88" s="4" t="s">
        <v>877</v>
      </c>
      <c r="B88" s="4" t="s">
        <v>878</v>
      </c>
      <c r="C88" s="4" t="s">
        <v>356</v>
      </c>
      <c r="D88" s="4" t="s">
        <v>155</v>
      </c>
      <c r="E88" s="4" t="s">
        <v>740</v>
      </c>
      <c r="F88" s="4" t="s">
        <v>167</v>
      </c>
      <c r="G88" s="10" t="n">
        <v>10976.98</v>
      </c>
      <c r="H88" s="10" t="n">
        <v>209.01</v>
      </c>
      <c r="I88" s="10" t="n">
        <v>10767.97</v>
      </c>
      <c r="J88" s="10" t="n">
        <f aca="false">ROUND(G88-H88-I88, 2)</f>
        <v>0</v>
      </c>
    </row>
    <row r="89" customFormat="false" ht="18.75" hidden="false" customHeight="true" outlineLevel="0" collapsed="false">
      <c r="A89" s="7" t="s">
        <v>879</v>
      </c>
      <c r="B89" s="7" t="s">
        <v>880</v>
      </c>
      <c r="C89" s="7" t="s">
        <v>359</v>
      </c>
      <c r="D89" s="7" t="s">
        <v>160</v>
      </c>
      <c r="E89" s="7" t="s">
        <v>743</v>
      </c>
      <c r="F89" s="7" t="s">
        <v>172</v>
      </c>
      <c r="G89" s="12" t="n">
        <v>11149.27</v>
      </c>
      <c r="H89" s="12" t="n">
        <v>259.49</v>
      </c>
      <c r="I89" s="12" t="n">
        <v>10889.78</v>
      </c>
      <c r="J89" s="12" t="n">
        <f aca="false">ROUND(G89-H89-I89, 2)</f>
        <v>0</v>
      </c>
    </row>
    <row r="90" customFormat="false" ht="18.75" hidden="false" customHeight="true" outlineLevel="0" collapsed="false">
      <c r="A90" s="4" t="s">
        <v>881</v>
      </c>
      <c r="B90" s="4" t="s">
        <v>882</v>
      </c>
      <c r="C90" s="4" t="s">
        <v>362</v>
      </c>
      <c r="D90" s="4" t="s">
        <v>165</v>
      </c>
      <c r="E90" s="4" t="s">
        <v>746</v>
      </c>
      <c r="F90" s="4" t="s">
        <v>172</v>
      </c>
      <c r="G90" s="10" t="n">
        <v>11322.56</v>
      </c>
      <c r="H90" s="10" t="n">
        <v>208.27</v>
      </c>
      <c r="I90" s="10" t="n">
        <v>11114.29</v>
      </c>
      <c r="J90" s="10" t="n">
        <f aca="false">ROUND(G90-H90-I90, 2)</f>
        <v>0</v>
      </c>
    </row>
    <row r="91" customFormat="false" ht="18.75" hidden="false" customHeight="true" outlineLevel="0" collapsed="false">
      <c r="A91" s="7" t="s">
        <v>883</v>
      </c>
      <c r="B91" s="7" t="s">
        <v>884</v>
      </c>
      <c r="C91" s="7" t="s">
        <v>365</v>
      </c>
      <c r="D91" s="7" t="s">
        <v>170</v>
      </c>
      <c r="E91" s="7" t="s">
        <v>749</v>
      </c>
      <c r="F91" s="7" t="s">
        <v>182</v>
      </c>
      <c r="G91" s="12" t="n">
        <v>11495.85</v>
      </c>
      <c r="H91" s="12" t="n">
        <v>342.67</v>
      </c>
      <c r="I91" s="12" t="n">
        <v>11153.18</v>
      </c>
      <c r="J91" s="12" t="n">
        <f aca="false">ROUND(G91-H91-I91, 2)</f>
        <v>0</v>
      </c>
    </row>
    <row r="92" customFormat="false" ht="18.75" hidden="false" customHeight="true" outlineLevel="0" collapsed="false">
      <c r="A92" s="4" t="s">
        <v>885</v>
      </c>
      <c r="B92" s="4" t="s">
        <v>886</v>
      </c>
      <c r="C92" s="4" t="s">
        <v>368</v>
      </c>
      <c r="D92" s="4" t="s">
        <v>175</v>
      </c>
      <c r="E92" s="4" t="s">
        <v>752</v>
      </c>
      <c r="F92" s="4" t="s">
        <v>187</v>
      </c>
      <c r="G92" s="10" t="n">
        <v>11668.14</v>
      </c>
      <c r="H92" s="10" t="n">
        <v>201.41</v>
      </c>
      <c r="I92" s="10" t="n">
        <v>11466.73</v>
      </c>
      <c r="J92" s="10" t="n">
        <f aca="false">ROUND(G92-H92-I92, 2)</f>
        <v>0</v>
      </c>
    </row>
    <row r="93" customFormat="false" ht="18.75" hidden="false" customHeight="true" outlineLevel="0" collapsed="false">
      <c r="A93" s="7" t="s">
        <v>887</v>
      </c>
      <c r="B93" s="7" t="s">
        <v>888</v>
      </c>
      <c r="C93" s="7" t="s">
        <v>371</v>
      </c>
      <c r="D93" s="7" t="s">
        <v>180</v>
      </c>
      <c r="E93" s="7" t="s">
        <v>755</v>
      </c>
      <c r="F93" s="7" t="s">
        <v>202</v>
      </c>
      <c r="G93" s="12" t="n">
        <v>11841.43</v>
      </c>
      <c r="H93" s="12" t="n">
        <v>289.4</v>
      </c>
      <c r="I93" s="12" t="n">
        <v>11552.03</v>
      </c>
      <c r="J93" s="12" t="n">
        <f aca="false">ROUND(G93-H93-I93, 2)</f>
        <v>0</v>
      </c>
    </row>
    <row r="94" customFormat="false" ht="18.75" hidden="false" customHeight="true" outlineLevel="0" collapsed="false">
      <c r="A94" s="4" t="s">
        <v>889</v>
      </c>
      <c r="B94" s="4" t="s">
        <v>890</v>
      </c>
      <c r="C94" s="4" t="s">
        <v>374</v>
      </c>
      <c r="D94" s="4" t="s">
        <v>185</v>
      </c>
      <c r="E94" s="4" t="s">
        <v>758</v>
      </c>
      <c r="F94" s="4" t="s">
        <v>207</v>
      </c>
      <c r="G94" s="10" t="n">
        <v>12014.72</v>
      </c>
      <c r="H94" s="10" t="n">
        <v>329.62</v>
      </c>
      <c r="I94" s="10" t="n">
        <v>11685.1</v>
      </c>
      <c r="J94" s="10" t="n">
        <f aca="false">ROUND(G94-H94-I94, 2)</f>
        <v>0</v>
      </c>
    </row>
    <row r="95" customFormat="false" ht="18.75" hidden="false" customHeight="true" outlineLevel="0" collapsed="false">
      <c r="A95" s="7" t="s">
        <v>891</v>
      </c>
      <c r="B95" s="7" t="s">
        <v>892</v>
      </c>
      <c r="C95" s="7" t="s">
        <v>377</v>
      </c>
      <c r="D95" s="7" t="s">
        <v>190</v>
      </c>
      <c r="E95" s="7" t="s">
        <v>761</v>
      </c>
      <c r="F95" s="7" t="s">
        <v>207</v>
      </c>
      <c r="G95" s="12" t="n">
        <v>12187.01</v>
      </c>
      <c r="H95" s="12" t="n">
        <v>246.83</v>
      </c>
      <c r="I95" s="12" t="n">
        <v>11940.18</v>
      </c>
      <c r="J95" s="12" t="n">
        <f aca="false">ROUND(G95-H95-I95, 2)</f>
        <v>0</v>
      </c>
    </row>
    <row r="96" customFormat="false" ht="18.75" hidden="false" customHeight="true" outlineLevel="0" collapsed="false">
      <c r="A96" s="4" t="s">
        <v>893</v>
      </c>
      <c r="B96" s="4" t="s">
        <v>894</v>
      </c>
      <c r="C96" s="4" t="s">
        <v>380</v>
      </c>
      <c r="D96" s="4" t="s">
        <v>195</v>
      </c>
      <c r="E96" s="4" t="s">
        <v>764</v>
      </c>
      <c r="F96" s="4" t="s">
        <v>202</v>
      </c>
      <c r="G96" s="10" t="n">
        <v>12360.3</v>
      </c>
      <c r="H96" s="10" t="n">
        <v>242.42</v>
      </c>
      <c r="I96" s="10" t="n">
        <v>12117.88</v>
      </c>
      <c r="J96" s="10" t="n">
        <f aca="false">ROUND(G96-H96-I96, 2)</f>
        <v>0</v>
      </c>
    </row>
    <row r="97" customFormat="false" ht="18.75" hidden="false" customHeight="true" outlineLevel="0" collapsed="false">
      <c r="A97" s="7" t="s">
        <v>895</v>
      </c>
      <c r="B97" s="7" t="s">
        <v>896</v>
      </c>
      <c r="C97" s="7" t="s">
        <v>383</v>
      </c>
      <c r="D97" s="7" t="s">
        <v>200</v>
      </c>
      <c r="E97" s="7" t="s">
        <v>767</v>
      </c>
      <c r="F97" s="7" t="s">
        <v>212</v>
      </c>
      <c r="G97" s="12" t="n">
        <v>12533.59</v>
      </c>
      <c r="H97" s="12" t="n">
        <v>275.97</v>
      </c>
      <c r="I97" s="12" t="n">
        <v>12257.62</v>
      </c>
      <c r="J97" s="12" t="n">
        <f aca="false">ROUND(G97-H97-I97, 2)</f>
        <v>0</v>
      </c>
    </row>
    <row r="98" customFormat="false" ht="18.75" hidden="false" customHeight="true" outlineLevel="0" collapsed="false">
      <c r="A98" s="4" t="s">
        <v>897</v>
      </c>
      <c r="B98" s="4" t="s">
        <v>898</v>
      </c>
      <c r="C98" s="4" t="s">
        <v>386</v>
      </c>
      <c r="D98" s="4" t="s">
        <v>205</v>
      </c>
      <c r="E98" s="4" t="s">
        <v>770</v>
      </c>
      <c r="F98" s="4" t="s">
        <v>217</v>
      </c>
      <c r="G98" s="10" t="n">
        <v>12706.88</v>
      </c>
      <c r="H98" s="10" t="n">
        <v>325.33</v>
      </c>
      <c r="I98" s="10" t="n">
        <v>12381.55</v>
      </c>
      <c r="J98" s="10" t="n">
        <f aca="false">ROUND(G98-H98-I98, 2)</f>
        <v>0</v>
      </c>
    </row>
    <row r="99" customFormat="false" ht="18.75" hidden="false" customHeight="true" outlineLevel="0" collapsed="false">
      <c r="A99" s="7" t="s">
        <v>899</v>
      </c>
      <c r="B99" s="7" t="s">
        <v>900</v>
      </c>
      <c r="C99" s="7" t="s">
        <v>389</v>
      </c>
      <c r="D99" s="7" t="s">
        <v>210</v>
      </c>
      <c r="E99" s="7" t="s">
        <v>773</v>
      </c>
      <c r="F99" s="7" t="s">
        <v>217</v>
      </c>
      <c r="G99" s="12" t="n">
        <v>12879.17</v>
      </c>
      <c r="H99" s="12" t="n">
        <v>244.93</v>
      </c>
      <c r="I99" s="12" t="n">
        <v>12634.24</v>
      </c>
      <c r="J99" s="12" t="n">
        <f aca="false">ROUND(G99-H99-I99, 2)</f>
        <v>0</v>
      </c>
    </row>
    <row r="100" customFormat="false" ht="18.75" hidden="false" customHeight="true" outlineLevel="0" collapsed="false">
      <c r="A100" s="4" t="s">
        <v>901</v>
      </c>
      <c r="B100" s="4" t="s">
        <v>902</v>
      </c>
      <c r="C100" s="4" t="s">
        <v>392</v>
      </c>
      <c r="D100" s="4" t="s">
        <v>215</v>
      </c>
      <c r="E100" s="4" t="s">
        <v>776</v>
      </c>
      <c r="F100" s="4" t="s">
        <v>234</v>
      </c>
      <c r="G100" s="10" t="n">
        <v>13052.46</v>
      </c>
      <c r="H100" s="10" t="n">
        <v>350.08</v>
      </c>
      <c r="I100" s="10" t="n">
        <v>12702.38</v>
      </c>
      <c r="J100" s="10" t="n">
        <f aca="false">ROUND(G100-H100-I100, 2)</f>
        <v>0</v>
      </c>
    </row>
    <row r="101" customFormat="false" ht="18.75" hidden="false" customHeight="true" outlineLevel="0" collapsed="false">
      <c r="A101" s="7" t="s">
        <v>903</v>
      </c>
      <c r="B101" s="7" t="s">
        <v>904</v>
      </c>
      <c r="C101" s="7" t="s">
        <v>395</v>
      </c>
      <c r="D101" s="7" t="s">
        <v>220</v>
      </c>
      <c r="E101" s="7" t="s">
        <v>779</v>
      </c>
      <c r="F101" s="7" t="s">
        <v>234</v>
      </c>
      <c r="G101" s="12" t="n">
        <v>13225.75</v>
      </c>
      <c r="H101" s="12" t="n">
        <v>235.87</v>
      </c>
      <c r="I101" s="12" t="n">
        <v>12989.88</v>
      </c>
      <c r="J101" s="12" t="n">
        <f aca="false">ROUND(G101-H101-I101, 2)</f>
        <v>0</v>
      </c>
    </row>
    <row r="102" customFormat="false" ht="18.75" hidden="false" customHeight="true" outlineLevel="0" collapsed="false">
      <c r="A102" s="4" t="s">
        <v>905</v>
      </c>
      <c r="B102" s="4" t="s">
        <v>906</v>
      </c>
      <c r="C102" s="4" t="s">
        <v>398</v>
      </c>
      <c r="D102" s="4" t="s">
        <v>99</v>
      </c>
      <c r="E102" s="4" t="s">
        <v>779</v>
      </c>
      <c r="F102" s="4" t="s">
        <v>234</v>
      </c>
      <c r="G102" s="10" t="n">
        <v>13398.04</v>
      </c>
      <c r="H102" s="10" t="n">
        <v>286.93</v>
      </c>
      <c r="I102" s="10" t="n">
        <v>13111.11</v>
      </c>
      <c r="J102" s="10" t="n">
        <f aca="false">ROUND(G102-H102-I102, 2)</f>
        <v>0</v>
      </c>
    </row>
    <row r="103" customFormat="false" ht="18.75" hidden="false" customHeight="true" outlineLevel="0" collapsed="false">
      <c r="A103" s="7" t="s">
        <v>907</v>
      </c>
      <c r="B103" s="7" t="s">
        <v>908</v>
      </c>
      <c r="C103" s="7" t="s">
        <v>401</v>
      </c>
      <c r="D103" s="7" t="s">
        <v>105</v>
      </c>
      <c r="E103" s="7" t="s">
        <v>784</v>
      </c>
      <c r="F103" s="7" t="s">
        <v>234</v>
      </c>
      <c r="G103" s="12" t="n">
        <v>13571.33</v>
      </c>
      <c r="H103" s="12" t="n">
        <v>225.97</v>
      </c>
      <c r="I103" s="12" t="n">
        <v>13345.36</v>
      </c>
      <c r="J103" s="12" t="n">
        <f aca="false">ROUND(G103-H103-I103, 2)</f>
        <v>0</v>
      </c>
    </row>
    <row r="104" customFormat="false" ht="18.75" hidden="false" customHeight="true" outlineLevel="0" collapsed="false">
      <c r="A104" s="4" t="s">
        <v>909</v>
      </c>
      <c r="B104" s="4" t="s">
        <v>910</v>
      </c>
      <c r="C104" s="4" t="s">
        <v>404</v>
      </c>
      <c r="D104" s="4" t="s">
        <v>110</v>
      </c>
      <c r="E104" s="4" t="s">
        <v>787</v>
      </c>
      <c r="F104" s="4" t="s">
        <v>242</v>
      </c>
      <c r="G104" s="10" t="n">
        <v>13744.62</v>
      </c>
      <c r="H104" s="10" t="n">
        <v>360.35</v>
      </c>
      <c r="I104" s="10" t="n">
        <v>13384.27</v>
      </c>
      <c r="J104" s="10" t="n">
        <f aca="false">ROUND(G104-H104-I104, 2)</f>
        <v>0</v>
      </c>
    </row>
    <row r="105" customFormat="false" ht="18.75" hidden="false" customHeight="true" outlineLevel="0" collapsed="false">
      <c r="A105" s="7" t="s">
        <v>911</v>
      </c>
      <c r="B105" s="7" t="s">
        <v>912</v>
      </c>
      <c r="C105" s="7" t="s">
        <v>407</v>
      </c>
      <c r="D105" s="7" t="s">
        <v>115</v>
      </c>
      <c r="E105" s="7" t="s">
        <v>790</v>
      </c>
      <c r="F105" s="7" t="s">
        <v>246</v>
      </c>
      <c r="G105" s="12" t="n">
        <v>13917.91</v>
      </c>
      <c r="H105" s="12" t="n">
        <v>289.76</v>
      </c>
      <c r="I105" s="12" t="n">
        <v>13628.15</v>
      </c>
      <c r="J105" s="12" t="n">
        <f aca="false">ROUND(G105-H105-I105, 2)</f>
        <v>0</v>
      </c>
    </row>
    <row r="106" customFormat="false" ht="18.75" hidden="false" customHeight="true" outlineLevel="0" collapsed="false">
      <c r="A106" s="4" t="s">
        <v>913</v>
      </c>
      <c r="B106" s="4" t="s">
        <v>914</v>
      </c>
      <c r="C106" s="4" t="s">
        <v>410</v>
      </c>
      <c r="D106" s="4" t="s">
        <v>120</v>
      </c>
      <c r="E106" s="4" t="s">
        <v>793</v>
      </c>
      <c r="F106" s="4" t="s">
        <v>250</v>
      </c>
      <c r="G106" s="10" t="n">
        <v>14090.2</v>
      </c>
      <c r="H106" s="10" t="n">
        <v>335.47</v>
      </c>
      <c r="I106" s="10" t="n">
        <v>13754.73</v>
      </c>
      <c r="J106" s="10" t="n">
        <f aca="false">ROUND(G106-H106-I106, 2)</f>
        <v>0</v>
      </c>
    </row>
    <row r="107" customFormat="false" ht="18.75" hidden="false" customHeight="true" outlineLevel="0" collapsed="false">
      <c r="A107" s="7" t="s">
        <v>915</v>
      </c>
      <c r="B107" s="7" t="s">
        <v>916</v>
      </c>
      <c r="C107" s="7" t="s">
        <v>413</v>
      </c>
      <c r="D107" s="7" t="s">
        <v>125</v>
      </c>
      <c r="E107" s="7" t="s">
        <v>796</v>
      </c>
      <c r="F107" s="7" t="s">
        <v>262</v>
      </c>
      <c r="G107" s="12" t="n">
        <v>14263.49</v>
      </c>
      <c r="H107" s="12" t="n">
        <v>322.15</v>
      </c>
      <c r="I107" s="12" t="n">
        <v>13941.34</v>
      </c>
      <c r="J107" s="12" t="n">
        <f aca="false">ROUND(G107-H107-I107, 2)</f>
        <v>0</v>
      </c>
    </row>
    <row r="108" customFormat="false" ht="18.75" hidden="false" customHeight="true" outlineLevel="0" collapsed="false">
      <c r="A108" s="4" t="s">
        <v>917</v>
      </c>
      <c r="B108" s="4" t="s">
        <v>918</v>
      </c>
      <c r="C108" s="4" t="s">
        <v>416</v>
      </c>
      <c r="D108" s="4" t="s">
        <v>130</v>
      </c>
      <c r="E108" s="4" t="s">
        <v>799</v>
      </c>
      <c r="F108" s="4" t="s">
        <v>262</v>
      </c>
      <c r="G108" s="10" t="n">
        <v>14436.78</v>
      </c>
      <c r="H108" s="10" t="n">
        <v>257.3</v>
      </c>
      <c r="I108" s="10" t="n">
        <v>14179.48</v>
      </c>
      <c r="J108" s="10" t="n">
        <f aca="false">ROUND(G108-H108-I108, 2)</f>
        <v>0</v>
      </c>
    </row>
    <row r="109" customFormat="false" ht="18.75" hidden="false" customHeight="true" outlineLevel="0" collapsed="false">
      <c r="A109" s="7" t="s">
        <v>919</v>
      </c>
      <c r="B109" s="7" t="s">
        <v>920</v>
      </c>
      <c r="C109" s="7" t="s">
        <v>419</v>
      </c>
      <c r="D109" s="7" t="s">
        <v>135</v>
      </c>
      <c r="E109" s="7" t="s">
        <v>802</v>
      </c>
      <c r="F109" s="7" t="s">
        <v>266</v>
      </c>
      <c r="G109" s="12" t="n">
        <v>14609.07</v>
      </c>
      <c r="H109" s="12" t="n">
        <v>417.86</v>
      </c>
      <c r="I109" s="12" t="n">
        <v>14191.21</v>
      </c>
      <c r="J109" s="12" t="n">
        <f aca="false">ROUND(G109-H109-I109, 2)</f>
        <v>0</v>
      </c>
    </row>
    <row r="110" customFormat="false" ht="18.75" hidden="false" customHeight="true" outlineLevel="0" collapsed="false">
      <c r="A110" s="4" t="s">
        <v>921</v>
      </c>
      <c r="B110" s="4" t="s">
        <v>922</v>
      </c>
      <c r="C110" s="4" t="s">
        <v>422</v>
      </c>
      <c r="D110" s="4" t="s">
        <v>140</v>
      </c>
      <c r="E110" s="4" t="s">
        <v>805</v>
      </c>
      <c r="F110" s="4" t="s">
        <v>262</v>
      </c>
      <c r="G110" s="10" t="n">
        <v>14782.36</v>
      </c>
      <c r="H110" s="10" t="n">
        <v>236.66</v>
      </c>
      <c r="I110" s="10" t="n">
        <v>14545.7</v>
      </c>
      <c r="J110" s="10" t="n">
        <f aca="false">ROUND(G110-H110-I110, 2)</f>
        <v>0</v>
      </c>
    </row>
    <row r="111" customFormat="false" ht="18.75" hidden="false" customHeight="true" outlineLevel="0" collapsed="false">
      <c r="A111" s="7" t="s">
        <v>923</v>
      </c>
      <c r="B111" s="7" t="s">
        <v>924</v>
      </c>
      <c r="C111" s="7" t="s">
        <v>425</v>
      </c>
      <c r="D111" s="7" t="s">
        <v>145</v>
      </c>
      <c r="E111" s="7" t="s">
        <v>808</v>
      </c>
      <c r="F111" s="7" t="s">
        <v>270</v>
      </c>
      <c r="G111" s="12" t="n">
        <v>14955.65</v>
      </c>
      <c r="H111" s="12" t="n">
        <v>372.96</v>
      </c>
      <c r="I111" s="12" t="n">
        <v>14582.69</v>
      </c>
      <c r="J111" s="12" t="n">
        <f aca="false">ROUND(G111-H111-I111, 2)</f>
        <v>0</v>
      </c>
    </row>
    <row r="112" customFormat="false" ht="18.75" hidden="false" customHeight="true" outlineLevel="0" collapsed="false">
      <c r="A112" s="4" t="s">
        <v>925</v>
      </c>
      <c r="B112" s="4" t="s">
        <v>926</v>
      </c>
      <c r="C112" s="4" t="s">
        <v>428</v>
      </c>
      <c r="D112" s="4" t="s">
        <v>150</v>
      </c>
      <c r="E112" s="4" t="s">
        <v>811</v>
      </c>
      <c r="F112" s="4" t="s">
        <v>274</v>
      </c>
      <c r="G112" s="10" t="n">
        <v>15128.94</v>
      </c>
      <c r="H112" s="10" t="n">
        <v>332.63</v>
      </c>
      <c r="I112" s="10" t="n">
        <v>14796.31</v>
      </c>
      <c r="J112" s="10" t="n">
        <f aca="false">ROUND(G112-H112-I112, 2)</f>
        <v>0</v>
      </c>
    </row>
    <row r="113" customFormat="false" ht="18.75" hidden="false" customHeight="true" outlineLevel="0" collapsed="false">
      <c r="A113" s="7" t="s">
        <v>927</v>
      </c>
      <c r="B113" s="7" t="s">
        <v>928</v>
      </c>
      <c r="C113" s="7" t="s">
        <v>431</v>
      </c>
      <c r="D113" s="7" t="s">
        <v>155</v>
      </c>
      <c r="E113" s="7" t="s">
        <v>814</v>
      </c>
      <c r="F113" s="7" t="s">
        <v>274</v>
      </c>
      <c r="G113" s="12" t="n">
        <v>15301.23</v>
      </c>
      <c r="H113" s="12" t="n">
        <v>290.66</v>
      </c>
      <c r="I113" s="12" t="n">
        <v>15010.57</v>
      </c>
      <c r="J113" s="12" t="n">
        <f aca="false">ROUND(G113-H113-I113, 2)</f>
        <v>0</v>
      </c>
    </row>
    <row r="114" customFormat="false" ht="18.75" hidden="false" customHeight="true" outlineLevel="0" collapsed="false">
      <c r="A114" s="4" t="s">
        <v>929</v>
      </c>
      <c r="B114" s="4" t="s">
        <v>930</v>
      </c>
      <c r="C114" s="4" t="s">
        <v>434</v>
      </c>
      <c r="D114" s="4" t="s">
        <v>160</v>
      </c>
      <c r="E114" s="4" t="s">
        <v>817</v>
      </c>
      <c r="F114" s="4" t="s">
        <v>290</v>
      </c>
      <c r="G114" s="10" t="n">
        <v>15474.52</v>
      </c>
      <c r="H114" s="10" t="n">
        <v>359.02</v>
      </c>
      <c r="I114" s="10" t="n">
        <v>15115.5</v>
      </c>
      <c r="J114" s="10" t="n">
        <f aca="false">ROUND(G114-H114-I114, 2)</f>
        <v>0</v>
      </c>
    </row>
    <row r="115" customFormat="false" ht="18.75" hidden="false" customHeight="true" outlineLevel="0" collapsed="false">
      <c r="A115" s="7" t="s">
        <v>931</v>
      </c>
      <c r="B115" s="7" t="s">
        <v>932</v>
      </c>
      <c r="C115" s="7" t="s">
        <v>437</v>
      </c>
      <c r="D115" s="7" t="s">
        <v>165</v>
      </c>
      <c r="E115" s="7" t="s">
        <v>820</v>
      </c>
      <c r="F115" s="7" t="s">
        <v>290</v>
      </c>
      <c r="G115" s="12" t="n">
        <v>15647.81</v>
      </c>
      <c r="H115" s="12" t="n">
        <v>287.38</v>
      </c>
      <c r="I115" s="12" t="n">
        <v>15360.43</v>
      </c>
      <c r="J115" s="12" t="n">
        <f aca="false">ROUND(G115-H115-I115, 2)</f>
        <v>0</v>
      </c>
    </row>
    <row r="116" customFormat="false" ht="18.75" hidden="false" customHeight="true" outlineLevel="0" collapsed="false">
      <c r="A116" s="4" t="s">
        <v>933</v>
      </c>
      <c r="B116" s="4" t="s">
        <v>934</v>
      </c>
      <c r="C116" s="4" t="s">
        <v>440</v>
      </c>
      <c r="D116" s="4" t="s">
        <v>170</v>
      </c>
      <c r="E116" s="4" t="s">
        <v>823</v>
      </c>
      <c r="F116" s="4" t="s">
        <v>294</v>
      </c>
      <c r="G116" s="10" t="n">
        <v>15820.1</v>
      </c>
      <c r="H116" s="10" t="n">
        <v>470.23</v>
      </c>
      <c r="I116" s="10" t="n">
        <v>15349.87</v>
      </c>
      <c r="J116" s="10" t="n">
        <f aca="false">ROUND(G116-H116-I116, 2)</f>
        <v>0</v>
      </c>
    </row>
    <row r="117" customFormat="false" ht="18.75" hidden="false" customHeight="true" outlineLevel="0" collapsed="false">
      <c r="A117" s="7" t="s">
        <v>935</v>
      </c>
      <c r="B117" s="7" t="s">
        <v>936</v>
      </c>
      <c r="C117" s="7" t="s">
        <v>443</v>
      </c>
      <c r="D117" s="7" t="s">
        <v>175</v>
      </c>
      <c r="E117" s="7" t="s">
        <v>826</v>
      </c>
      <c r="F117" s="7" t="s">
        <v>294</v>
      </c>
      <c r="G117" s="12" t="n">
        <v>15993.39</v>
      </c>
      <c r="H117" s="12" t="n">
        <v>275.41</v>
      </c>
      <c r="I117" s="12" t="n">
        <v>15717.98</v>
      </c>
      <c r="J117" s="12" t="n">
        <f aca="false">ROUND(G117-H117-I117, 2)</f>
        <v>0</v>
      </c>
    </row>
    <row r="118" customFormat="false" ht="18.75" hidden="false" customHeight="true" outlineLevel="0" collapsed="false">
      <c r="A118" s="4" t="s">
        <v>937</v>
      </c>
      <c r="B118" s="4" t="s">
        <v>938</v>
      </c>
      <c r="C118" s="4" t="s">
        <v>446</v>
      </c>
      <c r="D118" s="4" t="s">
        <v>180</v>
      </c>
      <c r="E118" s="4" t="s">
        <v>829</v>
      </c>
      <c r="F118" s="4" t="s">
        <v>298</v>
      </c>
      <c r="G118" s="10" t="n">
        <v>16166.68</v>
      </c>
      <c r="H118" s="10" t="n">
        <v>394.03</v>
      </c>
      <c r="I118" s="10" t="n">
        <v>15772.65</v>
      </c>
      <c r="J118" s="10" t="n">
        <f aca="false">ROUND(G118-H118-I118, 2)</f>
        <v>0</v>
      </c>
    </row>
    <row r="119" customFormat="false" ht="18.75" hidden="false" customHeight="true" outlineLevel="0" collapsed="false">
      <c r="A119" s="7" t="s">
        <v>939</v>
      </c>
      <c r="B119" s="7" t="s">
        <v>940</v>
      </c>
      <c r="C119" s="7" t="s">
        <v>449</v>
      </c>
      <c r="D119" s="7" t="s">
        <v>185</v>
      </c>
      <c r="E119" s="7" t="s">
        <v>832</v>
      </c>
      <c r="F119" s="7" t="s">
        <v>302</v>
      </c>
      <c r="G119" s="12" t="n">
        <v>16339.97</v>
      </c>
      <c r="H119" s="12" t="n">
        <v>447.01</v>
      </c>
      <c r="I119" s="12" t="n">
        <v>15892.96</v>
      </c>
      <c r="J119" s="12" t="n">
        <f aca="false">ROUND(G119-H119-I119, 2)</f>
        <v>0</v>
      </c>
    </row>
    <row r="120" customFormat="false" ht="18.75" hidden="false" customHeight="true" outlineLevel="0" collapsed="false">
      <c r="A120" s="4" t="s">
        <v>941</v>
      </c>
      <c r="B120" s="4" t="s">
        <v>942</v>
      </c>
      <c r="C120" s="4" t="s">
        <v>452</v>
      </c>
      <c r="D120" s="4" t="s">
        <v>190</v>
      </c>
      <c r="E120" s="4" t="s">
        <v>835</v>
      </c>
      <c r="F120" s="4" t="s">
        <v>306</v>
      </c>
      <c r="G120" s="10" t="n">
        <v>16512.26</v>
      </c>
      <c r="H120" s="10" t="n">
        <v>333.6</v>
      </c>
      <c r="I120" s="10" t="n">
        <v>16178.66</v>
      </c>
      <c r="J120" s="10" t="n">
        <f aca="false">ROUND(G120-H120-I120, 2)</f>
        <v>0</v>
      </c>
    </row>
    <row r="121" customFormat="false" ht="18.75" hidden="false" customHeight="true" outlineLevel="0" collapsed="false">
      <c r="A121" s="7" t="s">
        <v>943</v>
      </c>
      <c r="B121" s="7" t="s">
        <v>944</v>
      </c>
      <c r="C121" s="7" t="s">
        <v>455</v>
      </c>
      <c r="D121" s="7" t="s">
        <v>195</v>
      </c>
      <c r="E121" s="7" t="s">
        <v>838</v>
      </c>
      <c r="F121" s="7" t="s">
        <v>306</v>
      </c>
      <c r="G121" s="12" t="n">
        <v>16685.55</v>
      </c>
      <c r="H121" s="12" t="n">
        <v>326.64</v>
      </c>
      <c r="I121" s="12" t="n">
        <v>16358.91</v>
      </c>
      <c r="J121" s="12" t="n">
        <f aca="false">ROUND(G121-H121-I121, 2)</f>
        <v>0</v>
      </c>
    </row>
    <row r="122" customFormat="false" ht="18.75" hidden="false" customHeight="true" outlineLevel="0" collapsed="false">
      <c r="A122" s="4" t="s">
        <v>945</v>
      </c>
      <c r="B122" s="4" t="s">
        <v>946</v>
      </c>
      <c r="C122" s="4" t="s">
        <v>458</v>
      </c>
      <c r="D122" s="4" t="s">
        <v>200</v>
      </c>
      <c r="E122" s="4" t="s">
        <v>841</v>
      </c>
      <c r="F122" s="4" t="s">
        <v>322</v>
      </c>
      <c r="G122" s="10" t="n">
        <v>16858.84</v>
      </c>
      <c r="H122" s="10" t="n">
        <v>370.39</v>
      </c>
      <c r="I122" s="10" t="n">
        <v>16488.45</v>
      </c>
      <c r="J122" s="10" t="n">
        <f aca="false">ROUND(G122-H122-I122, 2)</f>
        <v>0</v>
      </c>
    </row>
    <row r="123" customFormat="false" ht="18.75" hidden="false" customHeight="true" outlineLevel="0" collapsed="false">
      <c r="A123" s="7" t="s">
        <v>947</v>
      </c>
      <c r="B123" s="7" t="s">
        <v>948</v>
      </c>
      <c r="C123" s="7" t="s">
        <v>461</v>
      </c>
      <c r="D123" s="7" t="s">
        <v>205</v>
      </c>
      <c r="E123" s="7" t="s">
        <v>844</v>
      </c>
      <c r="F123" s="7" t="s">
        <v>322</v>
      </c>
      <c r="G123" s="12" t="n">
        <v>17031.13</v>
      </c>
      <c r="H123" s="12" t="n">
        <v>435.03</v>
      </c>
      <c r="I123" s="12" t="n">
        <v>16596.1</v>
      </c>
      <c r="J123" s="12" t="n">
        <f aca="false">ROUND(G123-H123-I123, 2)</f>
        <v>0</v>
      </c>
    </row>
    <row r="124" customFormat="false" ht="18.75" hidden="false" customHeight="true" outlineLevel="0" collapsed="false">
      <c r="A124" s="4" t="s">
        <v>949</v>
      </c>
      <c r="B124" s="4" t="s">
        <v>950</v>
      </c>
      <c r="C124" s="4" t="s">
        <v>464</v>
      </c>
      <c r="D124" s="4" t="s">
        <v>210</v>
      </c>
      <c r="E124" s="4" t="s">
        <v>847</v>
      </c>
      <c r="F124" s="4" t="s">
        <v>318</v>
      </c>
      <c r="G124" s="10" t="n">
        <v>17204.42</v>
      </c>
      <c r="H124" s="10" t="n">
        <v>326.59</v>
      </c>
      <c r="I124" s="10" t="n">
        <v>16877.83</v>
      </c>
      <c r="J124" s="10" t="n">
        <f aca="false">ROUND(G124-H124-I124, 2)</f>
        <v>0</v>
      </c>
    </row>
    <row r="125" customFormat="false" ht="18.75" hidden="false" customHeight="true" outlineLevel="0" collapsed="false">
      <c r="A125" s="7" t="s">
        <v>951</v>
      </c>
      <c r="B125" s="7" t="s">
        <v>952</v>
      </c>
      <c r="C125" s="7" t="s">
        <v>467</v>
      </c>
      <c r="D125" s="7" t="s">
        <v>215</v>
      </c>
      <c r="E125" s="7" t="s">
        <v>850</v>
      </c>
      <c r="F125" s="7" t="s">
        <v>851</v>
      </c>
      <c r="G125" s="12" t="n">
        <v>17377.71</v>
      </c>
      <c r="H125" s="12" t="n">
        <v>464.92</v>
      </c>
      <c r="I125" s="12" t="n">
        <v>16912.79</v>
      </c>
      <c r="J125" s="12" t="n">
        <f aca="false">ROUND(G125-H125-I125, 2)</f>
        <v>0</v>
      </c>
    </row>
    <row r="126" customFormat="false" ht="18.75" hidden="false" customHeight="true" outlineLevel="0" collapsed="false">
      <c r="A126" s="4" t="s">
        <v>953</v>
      </c>
      <c r="B126" s="4" t="s">
        <v>954</v>
      </c>
      <c r="C126" s="4" t="s">
        <v>470</v>
      </c>
      <c r="D126" s="4" t="s">
        <v>220</v>
      </c>
      <c r="E126" s="4" t="s">
        <v>854</v>
      </c>
      <c r="F126" s="4" t="s">
        <v>851</v>
      </c>
      <c r="G126" s="10" t="n">
        <v>17550</v>
      </c>
      <c r="H126" s="10" t="n">
        <v>312.41</v>
      </c>
      <c r="I126" s="10" t="n">
        <v>17237.59</v>
      </c>
      <c r="J126" s="10" t="n">
        <f aca="false">ROUND(G126-H126-I126, 2)</f>
        <v>0</v>
      </c>
    </row>
    <row r="127" customFormat="false" ht="18.75" hidden="false" customHeight="true" outlineLevel="0" collapsed="false">
      <c r="A127" s="7" t="s">
        <v>955</v>
      </c>
      <c r="B127" s="7" t="s">
        <v>956</v>
      </c>
      <c r="C127" s="7" t="s">
        <v>473</v>
      </c>
      <c r="D127" s="7" t="s">
        <v>99</v>
      </c>
      <c r="E127" s="7" t="s">
        <v>707</v>
      </c>
      <c r="F127" s="7" t="s">
        <v>107</v>
      </c>
      <c r="G127" s="12" t="n">
        <v>17723.29</v>
      </c>
      <c r="H127" s="12" t="n">
        <v>378.8</v>
      </c>
      <c r="I127" s="12" t="n">
        <v>17344.49</v>
      </c>
      <c r="J127" s="12" t="n">
        <f aca="false">ROUND(G127-H127-I127, 2)</f>
        <v>0</v>
      </c>
    </row>
    <row r="128" customFormat="false" ht="18.75" hidden="false" customHeight="true" outlineLevel="0" collapsed="false">
      <c r="A128" s="4" t="s">
        <v>957</v>
      </c>
      <c r="B128" s="4" t="s">
        <v>958</v>
      </c>
      <c r="C128" s="4" t="s">
        <v>476</v>
      </c>
      <c r="D128" s="4" t="s">
        <v>105</v>
      </c>
      <c r="E128" s="4" t="s">
        <v>710</v>
      </c>
      <c r="F128" s="4" t="s">
        <v>112</v>
      </c>
      <c r="G128" s="10" t="n">
        <v>17896.58</v>
      </c>
      <c r="H128" s="10" t="n">
        <v>297.42</v>
      </c>
      <c r="I128" s="10" t="n">
        <v>17599.16</v>
      </c>
      <c r="J128" s="10" t="n">
        <f aca="false">ROUND(G128-H128-I128, 2)</f>
        <v>0</v>
      </c>
    </row>
    <row r="129" customFormat="false" ht="18.75" hidden="false" customHeight="true" outlineLevel="0" collapsed="false">
      <c r="A129" s="7" t="s">
        <v>959</v>
      </c>
      <c r="B129" s="7" t="s">
        <v>960</v>
      </c>
      <c r="C129" s="7" t="s">
        <v>479</v>
      </c>
      <c r="D129" s="7" t="s">
        <v>110</v>
      </c>
      <c r="E129" s="7" t="s">
        <v>713</v>
      </c>
      <c r="F129" s="7" t="s">
        <v>132</v>
      </c>
      <c r="G129" s="12" t="n">
        <v>18069.87</v>
      </c>
      <c r="H129" s="12" t="n">
        <v>472.64</v>
      </c>
      <c r="I129" s="12" t="n">
        <v>17597.23</v>
      </c>
      <c r="J129" s="12" t="n">
        <f aca="false">ROUND(G129-H129-I129, 2)</f>
        <v>0</v>
      </c>
    </row>
    <row r="130" customFormat="false" ht="18.75" hidden="false" customHeight="true" outlineLevel="0" collapsed="false">
      <c r="A130" s="4" t="s">
        <v>961</v>
      </c>
      <c r="B130" s="4" t="s">
        <v>962</v>
      </c>
      <c r="C130" s="4" t="s">
        <v>482</v>
      </c>
      <c r="D130" s="4" t="s">
        <v>115</v>
      </c>
      <c r="E130" s="4" t="s">
        <v>716</v>
      </c>
      <c r="F130" s="4" t="s">
        <v>137</v>
      </c>
      <c r="G130" s="10" t="n">
        <v>18242.16</v>
      </c>
      <c r="H130" s="10" t="n">
        <v>379.06</v>
      </c>
      <c r="I130" s="10" t="n">
        <v>17863.1</v>
      </c>
      <c r="J130" s="10" t="n">
        <f aca="false">ROUND(G130-H130-I130, 2)</f>
        <v>0</v>
      </c>
    </row>
    <row r="131" customFormat="false" ht="18.75" hidden="false" customHeight="true" outlineLevel="0" collapsed="false">
      <c r="A131" s="7" t="s">
        <v>963</v>
      </c>
      <c r="B131" s="7" t="s">
        <v>964</v>
      </c>
      <c r="C131" s="7" t="s">
        <v>485</v>
      </c>
      <c r="D131" s="7" t="s">
        <v>120</v>
      </c>
      <c r="E131" s="7" t="s">
        <v>719</v>
      </c>
      <c r="F131" s="7" t="s">
        <v>137</v>
      </c>
      <c r="G131" s="12" t="n">
        <v>18415.45</v>
      </c>
      <c r="H131" s="12" t="n">
        <v>437.56</v>
      </c>
      <c r="I131" s="12" t="n">
        <v>17977.89</v>
      </c>
      <c r="J131" s="12" t="n">
        <f aca="false">ROUND(G131-H131-I131, 2)</f>
        <v>0</v>
      </c>
    </row>
    <row r="132" customFormat="false" ht="18.75" hidden="false" customHeight="true" outlineLevel="0" collapsed="false">
      <c r="A132" s="4" t="s">
        <v>965</v>
      </c>
      <c r="B132" s="4" t="s">
        <v>966</v>
      </c>
      <c r="C132" s="4" t="s">
        <v>488</v>
      </c>
      <c r="D132" s="4" t="s">
        <v>125</v>
      </c>
      <c r="E132" s="4" t="s">
        <v>722</v>
      </c>
      <c r="F132" s="4" t="s">
        <v>137</v>
      </c>
      <c r="G132" s="10" t="n">
        <v>338.74</v>
      </c>
      <c r="H132" s="10" t="n">
        <v>9.96</v>
      </c>
      <c r="I132" s="10" t="n">
        <v>328.78</v>
      </c>
      <c r="J132" s="10" t="n">
        <f aca="false">ROUND(G132-H132-I132, 2)</f>
        <v>0</v>
      </c>
    </row>
    <row r="133" customFormat="false" ht="18.75" hidden="false" customHeight="true" outlineLevel="0" collapsed="false">
      <c r="A133" s="7" t="s">
        <v>967</v>
      </c>
      <c r="B133" s="7" t="s">
        <v>968</v>
      </c>
      <c r="C133" s="7" t="s">
        <v>491</v>
      </c>
      <c r="D133" s="7" t="s">
        <v>130</v>
      </c>
      <c r="E133" s="7" t="s">
        <v>725</v>
      </c>
      <c r="F133" s="7" t="s">
        <v>137</v>
      </c>
      <c r="G133" s="12" t="n">
        <v>511.03</v>
      </c>
      <c r="H133" s="12" t="n">
        <v>10.82</v>
      </c>
      <c r="I133" s="12" t="n">
        <v>500.21</v>
      </c>
      <c r="J133" s="12" t="n">
        <f aca="false">ROUND(G133-H133-I133, 2)</f>
        <v>0</v>
      </c>
    </row>
    <row r="134" customFormat="false" ht="18.75" hidden="false" customHeight="true" outlineLevel="0" collapsed="false">
      <c r="A134" s="4" t="s">
        <v>969</v>
      </c>
      <c r="B134" s="4" t="s">
        <v>970</v>
      </c>
      <c r="C134" s="4" t="s">
        <v>494</v>
      </c>
      <c r="D134" s="4" t="s">
        <v>135</v>
      </c>
      <c r="E134" s="4" t="s">
        <v>728</v>
      </c>
      <c r="F134" s="4" t="s">
        <v>147</v>
      </c>
      <c r="G134" s="10" t="n">
        <v>684.32</v>
      </c>
      <c r="H134" s="10" t="n">
        <v>23.51</v>
      </c>
      <c r="I134" s="10" t="n">
        <v>660.81</v>
      </c>
      <c r="J134" s="10" t="n">
        <f aca="false">ROUND(G134-H134-I134, 2)</f>
        <v>0</v>
      </c>
    </row>
    <row r="135" customFormat="false" ht="18.75" hidden="false" customHeight="true" outlineLevel="0" collapsed="false">
      <c r="A135" s="7" t="s">
        <v>971</v>
      </c>
      <c r="B135" s="7" t="s">
        <v>972</v>
      </c>
      <c r="C135" s="7" t="s">
        <v>497</v>
      </c>
      <c r="D135" s="7" t="s">
        <v>140</v>
      </c>
      <c r="E135" s="7" t="s">
        <v>731</v>
      </c>
      <c r="F135" s="7" t="s">
        <v>147</v>
      </c>
      <c r="G135" s="12" t="n">
        <v>857.61</v>
      </c>
      <c r="H135" s="12" t="n">
        <v>14.84</v>
      </c>
      <c r="I135" s="12" t="n">
        <v>842.77</v>
      </c>
      <c r="J135" s="12" t="n">
        <f aca="false">ROUND(G135-H135-I135, 2)</f>
        <v>0</v>
      </c>
    </row>
    <row r="136" customFormat="false" ht="18.75" hidden="false" customHeight="true" outlineLevel="0" collapsed="false">
      <c r="A136" s="4" t="s">
        <v>973</v>
      </c>
      <c r="B136" s="4" t="s">
        <v>974</v>
      </c>
      <c r="C136" s="4" t="s">
        <v>500</v>
      </c>
      <c r="D136" s="4" t="s">
        <v>145</v>
      </c>
      <c r="E136" s="4" t="s">
        <v>734</v>
      </c>
      <c r="F136" s="4" t="s">
        <v>167</v>
      </c>
      <c r="G136" s="10" t="n">
        <v>1030.9</v>
      </c>
      <c r="H136" s="10" t="n">
        <v>27.91</v>
      </c>
      <c r="I136" s="10" t="n">
        <v>1002.99</v>
      </c>
      <c r="J136" s="10" t="n">
        <f aca="false">ROUND(G136-H136-I136, 2)</f>
        <v>0</v>
      </c>
    </row>
    <row r="137" customFormat="false" ht="18.75" hidden="false" customHeight="true" outlineLevel="0" collapsed="false">
      <c r="A137" s="7" t="s">
        <v>975</v>
      </c>
      <c r="B137" s="7" t="s">
        <v>976</v>
      </c>
      <c r="C137" s="7" t="s">
        <v>503</v>
      </c>
      <c r="D137" s="7" t="s">
        <v>150</v>
      </c>
      <c r="E137" s="7" t="s">
        <v>737</v>
      </c>
      <c r="F137" s="7" t="s">
        <v>172</v>
      </c>
      <c r="G137" s="12" t="n">
        <v>1203.19</v>
      </c>
      <c r="H137" s="12" t="n">
        <v>28.63</v>
      </c>
      <c r="I137" s="12" t="n">
        <v>1174.56</v>
      </c>
      <c r="J137" s="12" t="n">
        <f aca="false">ROUND(G137-H137-I137, 2)</f>
        <v>0</v>
      </c>
    </row>
    <row r="138" customFormat="false" ht="18.75" hidden="false" customHeight="true" outlineLevel="0" collapsed="false">
      <c r="A138" s="4" t="s">
        <v>977</v>
      </c>
      <c r="B138" s="4" t="s">
        <v>978</v>
      </c>
      <c r="C138" s="4" t="s">
        <v>506</v>
      </c>
      <c r="D138" s="4" t="s">
        <v>155</v>
      </c>
      <c r="E138" s="4" t="s">
        <v>740</v>
      </c>
      <c r="F138" s="4" t="s">
        <v>167</v>
      </c>
      <c r="G138" s="10" t="n">
        <v>1376.48</v>
      </c>
      <c r="H138" s="10" t="n">
        <v>27.75</v>
      </c>
      <c r="I138" s="10" t="n">
        <v>1348.73</v>
      </c>
      <c r="J138" s="10" t="n">
        <f aca="false">ROUND(G138-H138-I138, 2)</f>
        <v>0</v>
      </c>
    </row>
    <row r="139" customFormat="false" ht="18.75" hidden="false" customHeight="true" outlineLevel="0" collapsed="false">
      <c r="A139" s="7" t="s">
        <v>979</v>
      </c>
      <c r="B139" s="7" t="s">
        <v>980</v>
      </c>
      <c r="C139" s="7" t="s">
        <v>509</v>
      </c>
      <c r="D139" s="7" t="s">
        <v>160</v>
      </c>
      <c r="E139" s="7" t="s">
        <v>743</v>
      </c>
      <c r="F139" s="7" t="s">
        <v>172</v>
      </c>
      <c r="G139" s="12" t="n">
        <v>1549.77</v>
      </c>
      <c r="H139" s="12" t="n">
        <v>38.61</v>
      </c>
      <c r="I139" s="12" t="n">
        <v>1511.16</v>
      </c>
      <c r="J139" s="12" t="n">
        <f aca="false">ROUND(G139-H139-I139, 2)</f>
        <v>0</v>
      </c>
    </row>
    <row r="140" customFormat="false" ht="18.75" hidden="false" customHeight="true" outlineLevel="0" collapsed="false">
      <c r="A140" s="4" t="s">
        <v>981</v>
      </c>
      <c r="B140" s="4" t="s">
        <v>982</v>
      </c>
      <c r="C140" s="4" t="s">
        <v>512</v>
      </c>
      <c r="D140" s="4" t="s">
        <v>165</v>
      </c>
      <c r="E140" s="4" t="s">
        <v>746</v>
      </c>
      <c r="F140" s="4" t="s">
        <v>172</v>
      </c>
      <c r="G140" s="10" t="n">
        <v>1722.06</v>
      </c>
      <c r="H140" s="10" t="n">
        <v>32.67</v>
      </c>
      <c r="I140" s="10" t="n">
        <v>1689.39</v>
      </c>
      <c r="J140" s="10" t="n">
        <f aca="false">ROUND(G140-H140-I140, 2)</f>
        <v>0</v>
      </c>
    </row>
    <row r="141" customFormat="false" ht="18.75" hidden="false" customHeight="true" outlineLevel="0" collapsed="false">
      <c r="A141" s="7" t="s">
        <v>983</v>
      </c>
      <c r="B141" s="7" t="s">
        <v>984</v>
      </c>
      <c r="C141" s="7" t="s">
        <v>515</v>
      </c>
      <c r="D141" s="7" t="s">
        <v>170</v>
      </c>
      <c r="E141" s="7" t="s">
        <v>749</v>
      </c>
      <c r="F141" s="7" t="s">
        <v>182</v>
      </c>
      <c r="G141" s="12" t="n">
        <v>1895.35</v>
      </c>
      <c r="H141" s="12" t="n">
        <v>59.45</v>
      </c>
      <c r="I141" s="12" t="n">
        <v>1835.9</v>
      </c>
      <c r="J141" s="12" t="n">
        <f aca="false">ROUND(G141-H141-I141, 2)</f>
        <v>0</v>
      </c>
    </row>
    <row r="142" customFormat="false" ht="18.75" hidden="false" customHeight="true" outlineLevel="0" collapsed="false">
      <c r="A142" s="4" t="s">
        <v>985</v>
      </c>
      <c r="B142" s="4" t="s">
        <v>986</v>
      </c>
      <c r="C142" s="4" t="s">
        <v>518</v>
      </c>
      <c r="D142" s="4" t="s">
        <v>175</v>
      </c>
      <c r="E142" s="4" t="s">
        <v>752</v>
      </c>
      <c r="F142" s="4" t="s">
        <v>187</v>
      </c>
      <c r="G142" s="10" t="n">
        <v>2068.64</v>
      </c>
      <c r="H142" s="10" t="n">
        <v>37.17</v>
      </c>
      <c r="I142" s="10" t="n">
        <v>2031.47</v>
      </c>
      <c r="J142" s="10" t="n">
        <f aca="false">ROUND(G142-H142-I142, 2)</f>
        <v>0</v>
      </c>
    </row>
    <row r="143" customFormat="false" ht="18.75" hidden="false" customHeight="true" outlineLevel="0" collapsed="false">
      <c r="A143" s="7" t="s">
        <v>987</v>
      </c>
      <c r="B143" s="7" t="s">
        <v>988</v>
      </c>
      <c r="C143" s="7" t="s">
        <v>521</v>
      </c>
      <c r="D143" s="7" t="s">
        <v>180</v>
      </c>
      <c r="E143" s="7" t="s">
        <v>755</v>
      </c>
      <c r="F143" s="7" t="s">
        <v>202</v>
      </c>
      <c r="G143" s="12" t="n">
        <v>2241.93</v>
      </c>
      <c r="H143" s="12" t="n">
        <v>57.18</v>
      </c>
      <c r="I143" s="12" t="n">
        <v>2184.75</v>
      </c>
      <c r="J143" s="12" t="n">
        <f aca="false">ROUND(G143-H143-I143, 2)</f>
        <v>0</v>
      </c>
    </row>
    <row r="144" customFormat="false" ht="18.75" hidden="false" customHeight="true" outlineLevel="0" collapsed="false">
      <c r="A144" s="4" t="s">
        <v>989</v>
      </c>
      <c r="B144" s="4" t="s">
        <v>990</v>
      </c>
      <c r="C144" s="4" t="s">
        <v>524</v>
      </c>
      <c r="D144" s="4" t="s">
        <v>185</v>
      </c>
      <c r="E144" s="4" t="s">
        <v>758</v>
      </c>
      <c r="F144" s="4" t="s">
        <v>207</v>
      </c>
      <c r="G144" s="10" t="n">
        <v>2414.22</v>
      </c>
      <c r="H144" s="10" t="n">
        <v>69.07</v>
      </c>
      <c r="I144" s="10" t="n">
        <v>2345.15</v>
      </c>
      <c r="J144" s="10" t="n">
        <f aca="false">ROUND(G144-H144-I144, 2)</f>
        <v>0</v>
      </c>
    </row>
    <row r="145" customFormat="false" ht="18.75" hidden="false" customHeight="true" outlineLevel="0" collapsed="false">
      <c r="A145" s="7" t="s">
        <v>991</v>
      </c>
      <c r="B145" s="7" t="s">
        <v>992</v>
      </c>
      <c r="C145" s="7" t="s">
        <v>527</v>
      </c>
      <c r="D145" s="7" t="s">
        <v>190</v>
      </c>
      <c r="E145" s="7" t="s">
        <v>761</v>
      </c>
      <c r="F145" s="7" t="s">
        <v>207</v>
      </c>
      <c r="G145" s="12" t="n">
        <v>2587.51</v>
      </c>
      <c r="H145" s="12" t="n">
        <v>54.27</v>
      </c>
      <c r="I145" s="12" t="n">
        <v>2533.24</v>
      </c>
      <c r="J145" s="12" t="n">
        <f aca="false">ROUND(G145-H145-I145, 2)</f>
        <v>0</v>
      </c>
    </row>
    <row r="146" customFormat="false" ht="18.75" hidden="false" customHeight="true" outlineLevel="0" collapsed="false">
      <c r="A146" s="4" t="s">
        <v>993</v>
      </c>
      <c r="B146" s="4" t="s">
        <v>994</v>
      </c>
      <c r="C146" s="4" t="s">
        <v>530</v>
      </c>
      <c r="D146" s="4" t="s">
        <v>195</v>
      </c>
      <c r="E146" s="4" t="s">
        <v>764</v>
      </c>
      <c r="F146" s="4" t="s">
        <v>202</v>
      </c>
      <c r="G146" s="10" t="n">
        <v>2760.8</v>
      </c>
      <c r="H146" s="10" t="n">
        <v>55.52</v>
      </c>
      <c r="I146" s="10" t="n">
        <v>2705.28</v>
      </c>
      <c r="J146" s="10" t="n">
        <f aca="false">ROUND(G146-H146-I146, 2)</f>
        <v>0</v>
      </c>
    </row>
    <row r="147" customFormat="false" ht="18.75" hidden="false" customHeight="true" outlineLevel="0" collapsed="false">
      <c r="A147" s="7" t="s">
        <v>995</v>
      </c>
      <c r="B147" s="7" t="s">
        <v>996</v>
      </c>
      <c r="C147" s="7" t="s">
        <v>533</v>
      </c>
      <c r="D147" s="7" t="s">
        <v>200</v>
      </c>
      <c r="E147" s="7" t="s">
        <v>767</v>
      </c>
      <c r="F147" s="7" t="s">
        <v>212</v>
      </c>
      <c r="G147" s="12" t="n">
        <v>2933.09</v>
      </c>
      <c r="H147" s="12" t="n">
        <v>66.39</v>
      </c>
      <c r="I147" s="12" t="n">
        <v>2866.7</v>
      </c>
      <c r="J147" s="12" t="n">
        <f aca="false">ROUND(G147-H147-I147, 2)</f>
        <v>0</v>
      </c>
    </row>
    <row r="148" customFormat="false" ht="18.75" hidden="false" customHeight="true" outlineLevel="0" collapsed="false">
      <c r="A148" s="4" t="s">
        <v>997</v>
      </c>
      <c r="B148" s="4" t="s">
        <v>998</v>
      </c>
      <c r="C148" s="4" t="s">
        <v>536</v>
      </c>
      <c r="D148" s="4" t="s">
        <v>205</v>
      </c>
      <c r="E148" s="4" t="s">
        <v>770</v>
      </c>
      <c r="F148" s="4" t="s">
        <v>217</v>
      </c>
      <c r="G148" s="10" t="n">
        <v>3106.38</v>
      </c>
      <c r="H148" s="10" t="n">
        <v>81.76</v>
      </c>
      <c r="I148" s="10" t="n">
        <v>3024.62</v>
      </c>
      <c r="J148" s="10" t="n">
        <f aca="false">ROUND(G148-H148-I148, 2)</f>
        <v>0</v>
      </c>
    </row>
    <row r="149" customFormat="false" ht="18.75" hidden="false" customHeight="true" outlineLevel="0" collapsed="false">
      <c r="A149" s="7" t="s">
        <v>999</v>
      </c>
      <c r="B149" s="7" t="s">
        <v>1000</v>
      </c>
      <c r="C149" s="7" t="s">
        <v>539</v>
      </c>
      <c r="D149" s="7" t="s">
        <v>210</v>
      </c>
      <c r="E149" s="7" t="s">
        <v>773</v>
      </c>
      <c r="F149" s="7" t="s">
        <v>217</v>
      </c>
      <c r="G149" s="12" t="n">
        <v>3279.67</v>
      </c>
      <c r="H149" s="12" t="n">
        <v>63.68</v>
      </c>
      <c r="I149" s="12" t="n">
        <v>3215.99</v>
      </c>
      <c r="J149" s="12" t="n">
        <f aca="false">ROUND(G149-H149-I149, 2)</f>
        <v>0</v>
      </c>
    </row>
    <row r="150" customFormat="false" ht="18.75" hidden="false" customHeight="true" outlineLevel="0" collapsed="false">
      <c r="A150" s="4" t="s">
        <v>1001</v>
      </c>
      <c r="B150" s="4" t="s">
        <v>1002</v>
      </c>
      <c r="C150" s="4" t="s">
        <v>542</v>
      </c>
      <c r="D150" s="4" t="s">
        <v>215</v>
      </c>
      <c r="E150" s="4" t="s">
        <v>776</v>
      </c>
      <c r="F150" s="4" t="s">
        <v>234</v>
      </c>
      <c r="G150" s="10" t="n">
        <v>3452.96</v>
      </c>
      <c r="H150" s="10" t="n">
        <v>95.21</v>
      </c>
      <c r="I150" s="10" t="n">
        <v>3357.75</v>
      </c>
      <c r="J150" s="10" t="n">
        <f aca="false">ROUND(G150-H150-I150, 2)</f>
        <v>0</v>
      </c>
    </row>
    <row r="151" customFormat="false" ht="18.75" hidden="false" customHeight="true" outlineLevel="0" collapsed="false">
      <c r="A151" s="7" t="s">
        <v>1003</v>
      </c>
      <c r="B151" s="7" t="s">
        <v>1004</v>
      </c>
      <c r="C151" s="7" t="s">
        <v>545</v>
      </c>
      <c r="D151" s="7" t="s">
        <v>220</v>
      </c>
      <c r="E151" s="7" t="s">
        <v>779</v>
      </c>
      <c r="F151" s="7" t="s">
        <v>234</v>
      </c>
      <c r="G151" s="12" t="n">
        <v>3625.25</v>
      </c>
      <c r="H151" s="12" t="n">
        <v>65.94</v>
      </c>
      <c r="I151" s="12" t="n">
        <v>3559.31</v>
      </c>
      <c r="J151" s="12" t="n">
        <f aca="false">ROUND(G151-H151-I151, 2)</f>
        <v>0</v>
      </c>
    </row>
    <row r="152" customFormat="false" ht="18.75" hidden="false" customHeight="true" outlineLevel="0" collapsed="false">
      <c r="A152" s="4" t="s">
        <v>1005</v>
      </c>
      <c r="B152" s="4" t="s">
        <v>1006</v>
      </c>
      <c r="C152" s="4" t="s">
        <v>548</v>
      </c>
      <c r="D152" s="4" t="s">
        <v>99</v>
      </c>
      <c r="E152" s="4" t="s">
        <v>779</v>
      </c>
      <c r="F152" s="4" t="s">
        <v>234</v>
      </c>
      <c r="G152" s="10" t="n">
        <v>3798.54</v>
      </c>
      <c r="H152" s="10" t="n">
        <v>83.04</v>
      </c>
      <c r="I152" s="10" t="n">
        <v>3715.5</v>
      </c>
      <c r="J152" s="10" t="n">
        <f aca="false">ROUND(G152-H152-I152, 2)</f>
        <v>0</v>
      </c>
    </row>
    <row r="153" customFormat="false" ht="18.75" hidden="false" customHeight="true" outlineLevel="0" collapsed="false">
      <c r="A153" s="7" t="s">
        <v>1007</v>
      </c>
      <c r="B153" s="7" t="s">
        <v>1008</v>
      </c>
      <c r="C153" s="7" t="s">
        <v>551</v>
      </c>
      <c r="D153" s="7" t="s">
        <v>105</v>
      </c>
      <c r="E153" s="7" t="s">
        <v>784</v>
      </c>
      <c r="F153" s="7" t="s">
        <v>234</v>
      </c>
      <c r="G153" s="12" t="n">
        <v>3971.83</v>
      </c>
      <c r="H153" s="12" t="n">
        <v>67.39</v>
      </c>
      <c r="I153" s="12" t="n">
        <v>3904.44</v>
      </c>
      <c r="J153" s="12" t="n">
        <f aca="false">ROUND(G153-H153-I153, 2)</f>
        <v>0</v>
      </c>
    </row>
    <row r="154" customFormat="false" ht="18.75" hidden="false" customHeight="true" outlineLevel="0" collapsed="false">
      <c r="A154" s="4" t="s">
        <v>1009</v>
      </c>
      <c r="B154" s="4" t="s">
        <v>1010</v>
      </c>
      <c r="C154" s="4" t="s">
        <v>554</v>
      </c>
      <c r="D154" s="4" t="s">
        <v>110</v>
      </c>
      <c r="E154" s="4" t="s">
        <v>787</v>
      </c>
      <c r="F154" s="4" t="s">
        <v>242</v>
      </c>
      <c r="G154" s="10" t="n">
        <v>4144.12</v>
      </c>
      <c r="H154" s="10" t="n">
        <v>111.12</v>
      </c>
      <c r="I154" s="10" t="n">
        <v>4033</v>
      </c>
      <c r="J154" s="10" t="n">
        <f aca="false">ROUND(G154-H154-I154, 2)</f>
        <v>0</v>
      </c>
    </row>
    <row r="155" customFormat="false" ht="18.75" hidden="false" customHeight="true" outlineLevel="0" collapsed="false">
      <c r="A155" s="7" t="s">
        <v>1011</v>
      </c>
      <c r="B155" s="7" t="s">
        <v>1012</v>
      </c>
      <c r="C155" s="7" t="s">
        <v>557</v>
      </c>
      <c r="D155" s="7" t="s">
        <v>115</v>
      </c>
      <c r="E155" s="7" t="s">
        <v>790</v>
      </c>
      <c r="F155" s="7" t="s">
        <v>246</v>
      </c>
      <c r="G155" s="12" t="n">
        <v>4317.41</v>
      </c>
      <c r="H155" s="12" t="n">
        <v>91.51</v>
      </c>
      <c r="I155" s="12" t="n">
        <v>4225.9</v>
      </c>
      <c r="J155" s="12" t="n">
        <f aca="false">ROUND(G155-H155-I155, 2)</f>
        <v>0</v>
      </c>
    </row>
    <row r="156" customFormat="false" ht="18.75" hidden="false" customHeight="true" outlineLevel="0" collapsed="false">
      <c r="A156" s="4" t="s">
        <v>1013</v>
      </c>
      <c r="B156" s="4" t="s">
        <v>1014</v>
      </c>
      <c r="C156" s="4" t="s">
        <v>560</v>
      </c>
      <c r="D156" s="4" t="s">
        <v>120</v>
      </c>
      <c r="E156" s="4" t="s">
        <v>793</v>
      </c>
      <c r="F156" s="4" t="s">
        <v>250</v>
      </c>
      <c r="G156" s="10" t="n">
        <v>4490.7</v>
      </c>
      <c r="H156" s="10" t="n">
        <v>108.93</v>
      </c>
      <c r="I156" s="10" t="n">
        <v>4381.77</v>
      </c>
      <c r="J156" s="10" t="n">
        <f aca="false">ROUND(G156-H156-I156, 2)</f>
        <v>0</v>
      </c>
    </row>
    <row r="157" customFormat="false" ht="18.75" hidden="false" customHeight="true" outlineLevel="0" collapsed="false">
      <c r="A157" s="7" t="s">
        <v>1015</v>
      </c>
      <c r="B157" s="7" t="s">
        <v>1016</v>
      </c>
      <c r="C157" s="7" t="s">
        <v>563</v>
      </c>
      <c r="D157" s="7" t="s">
        <v>125</v>
      </c>
      <c r="E157" s="7" t="s">
        <v>796</v>
      </c>
      <c r="F157" s="7" t="s">
        <v>262</v>
      </c>
      <c r="G157" s="12" t="n">
        <v>4663.99</v>
      </c>
      <c r="H157" s="12" t="n">
        <v>106.93</v>
      </c>
      <c r="I157" s="12" t="n">
        <v>4557.06</v>
      </c>
      <c r="J157" s="12" t="n">
        <f aca="false">ROUND(G157-H157-I157, 2)</f>
        <v>0</v>
      </c>
    </row>
    <row r="158" customFormat="false" ht="18.75" hidden="false" customHeight="true" outlineLevel="0" collapsed="false">
      <c r="A158" s="4" t="s">
        <v>1017</v>
      </c>
      <c r="B158" s="4" t="s">
        <v>1018</v>
      </c>
      <c r="C158" s="4" t="s">
        <v>566</v>
      </c>
      <c r="D158" s="4" t="s">
        <v>130</v>
      </c>
      <c r="E158" s="4" t="s">
        <v>799</v>
      </c>
      <c r="F158" s="4" t="s">
        <v>262</v>
      </c>
      <c r="G158" s="10" t="n">
        <v>4836.28</v>
      </c>
      <c r="H158" s="10" t="n">
        <v>87.37</v>
      </c>
      <c r="I158" s="10" t="n">
        <v>4748.91</v>
      </c>
      <c r="J158" s="10" t="n">
        <f aca="false">ROUND(G158-H158-I158, 2)</f>
        <v>0</v>
      </c>
    </row>
    <row r="159" customFormat="false" ht="18.75" hidden="false" customHeight="true" outlineLevel="0" collapsed="false">
      <c r="A159" s="7" t="s">
        <v>1019</v>
      </c>
      <c r="B159" s="7" t="s">
        <v>1020</v>
      </c>
      <c r="C159" s="7" t="s">
        <v>569</v>
      </c>
      <c r="D159" s="7" t="s">
        <v>135</v>
      </c>
      <c r="E159" s="7" t="s">
        <v>802</v>
      </c>
      <c r="F159" s="7" t="s">
        <v>266</v>
      </c>
      <c r="G159" s="12" t="n">
        <v>5009.57</v>
      </c>
      <c r="H159" s="12" t="n">
        <v>146</v>
      </c>
      <c r="I159" s="12" t="n">
        <v>4863.57</v>
      </c>
      <c r="J159" s="12" t="n">
        <f aca="false">ROUND(G159-H159-I159, 2)</f>
        <v>0</v>
      </c>
    </row>
    <row r="160" customFormat="false" ht="18.75" hidden="false" customHeight="true" outlineLevel="0" collapsed="false">
      <c r="A160" s="4" t="s">
        <v>1021</v>
      </c>
      <c r="B160" s="4" t="s">
        <v>1022</v>
      </c>
      <c r="C160" s="4" t="s">
        <v>572</v>
      </c>
      <c r="D160" s="4" t="s">
        <v>140</v>
      </c>
      <c r="E160" s="4" t="s">
        <v>805</v>
      </c>
      <c r="F160" s="4" t="s">
        <v>262</v>
      </c>
      <c r="G160" s="10" t="n">
        <v>5182.86</v>
      </c>
      <c r="H160" s="10" t="n">
        <v>83.74</v>
      </c>
      <c r="I160" s="10" t="n">
        <v>5099.12</v>
      </c>
      <c r="J160" s="10" t="n">
        <f aca="false">ROUND(G160-H160-I160, 2)</f>
        <v>0</v>
      </c>
    </row>
    <row r="161" customFormat="false" ht="18.75" hidden="false" customHeight="true" outlineLevel="0" collapsed="false">
      <c r="A161" s="7" t="s">
        <v>1023</v>
      </c>
      <c r="B161" s="7" t="s">
        <v>1024</v>
      </c>
      <c r="C161" s="7" t="s">
        <v>575</v>
      </c>
      <c r="D161" s="7" t="s">
        <v>145</v>
      </c>
      <c r="E161" s="7" t="s">
        <v>808</v>
      </c>
      <c r="F161" s="7" t="s">
        <v>270</v>
      </c>
      <c r="G161" s="12" t="n">
        <v>5355.15</v>
      </c>
      <c r="H161" s="12" t="n">
        <v>135.06</v>
      </c>
      <c r="I161" s="12" t="n">
        <v>5220.09</v>
      </c>
      <c r="J161" s="12" t="n">
        <f aca="false">ROUND(G161-H161-I161, 2)</f>
        <v>0</v>
      </c>
    </row>
    <row r="162" customFormat="false" ht="18.75" hidden="false" customHeight="true" outlineLevel="0" collapsed="false">
      <c r="A162" s="4" t="s">
        <v>1025</v>
      </c>
      <c r="B162" s="4" t="s">
        <v>1026</v>
      </c>
      <c r="C162" s="4" t="s">
        <v>578</v>
      </c>
      <c r="D162" s="4" t="s">
        <v>150</v>
      </c>
      <c r="E162" s="4" t="s">
        <v>811</v>
      </c>
      <c r="F162" s="4" t="s">
        <v>274</v>
      </c>
      <c r="G162" s="10" t="n">
        <v>5528.44</v>
      </c>
      <c r="H162" s="10" t="n">
        <v>123.05</v>
      </c>
      <c r="I162" s="10" t="n">
        <v>5405.39</v>
      </c>
      <c r="J162" s="10" t="n">
        <f aca="false">ROUND(G162-H162-I162, 2)</f>
        <v>0</v>
      </c>
    </row>
    <row r="163" customFormat="false" ht="18.75" hidden="false" customHeight="true" outlineLevel="0" collapsed="false">
      <c r="A163" s="7" t="s">
        <v>1027</v>
      </c>
      <c r="B163" s="7" t="s">
        <v>1028</v>
      </c>
      <c r="C163" s="7" t="s">
        <v>581</v>
      </c>
      <c r="D163" s="7" t="s">
        <v>155</v>
      </c>
      <c r="E163" s="7" t="s">
        <v>814</v>
      </c>
      <c r="F163" s="7" t="s">
        <v>274</v>
      </c>
      <c r="G163" s="12" t="n">
        <v>5701.73</v>
      </c>
      <c r="H163" s="12" t="n">
        <v>109.42</v>
      </c>
      <c r="I163" s="12" t="n">
        <v>5592.31</v>
      </c>
      <c r="J163" s="12" t="n">
        <f aca="false">ROUND(G163-H163-I163, 2)</f>
        <v>0</v>
      </c>
    </row>
    <row r="164" customFormat="false" ht="18.75" hidden="false" customHeight="true" outlineLevel="0" collapsed="false">
      <c r="A164" s="4" t="s">
        <v>1029</v>
      </c>
      <c r="B164" s="4" t="s">
        <v>1030</v>
      </c>
      <c r="C164" s="4" t="s">
        <v>584</v>
      </c>
      <c r="D164" s="4" t="s">
        <v>160</v>
      </c>
      <c r="E164" s="4" t="s">
        <v>817</v>
      </c>
      <c r="F164" s="4" t="s">
        <v>290</v>
      </c>
      <c r="G164" s="10" t="n">
        <v>5874.02</v>
      </c>
      <c r="H164" s="10" t="n">
        <v>138.11</v>
      </c>
      <c r="I164" s="10" t="n">
        <v>5735.91</v>
      </c>
      <c r="J164" s="10" t="n">
        <f aca="false">ROUND(G164-H164-I164, 2)</f>
        <v>0</v>
      </c>
    </row>
    <row r="165" customFormat="false" ht="18.75" hidden="false" customHeight="true" outlineLevel="0" collapsed="false">
      <c r="A165" s="7" t="s">
        <v>1031</v>
      </c>
      <c r="B165" s="7" t="s">
        <v>1032</v>
      </c>
      <c r="C165" s="7" t="s">
        <v>587</v>
      </c>
      <c r="D165" s="7" t="s">
        <v>165</v>
      </c>
      <c r="E165" s="7" t="s">
        <v>820</v>
      </c>
      <c r="F165" s="7" t="s">
        <v>290</v>
      </c>
      <c r="G165" s="12" t="n">
        <v>6047.31</v>
      </c>
      <c r="H165" s="12" t="n">
        <v>111.78</v>
      </c>
      <c r="I165" s="12" t="n">
        <v>5935.53</v>
      </c>
      <c r="J165" s="12" t="n">
        <f aca="false">ROUND(G165-H165-I165, 2)</f>
        <v>0</v>
      </c>
    </row>
    <row r="166" customFormat="false" ht="18.75" hidden="false" customHeight="true" outlineLevel="0" collapsed="false">
      <c r="A166" s="4" t="s">
        <v>1033</v>
      </c>
      <c r="B166" s="4" t="s">
        <v>1034</v>
      </c>
      <c r="C166" s="4" t="s">
        <v>590</v>
      </c>
      <c r="D166" s="4" t="s">
        <v>170</v>
      </c>
      <c r="E166" s="4" t="s">
        <v>823</v>
      </c>
      <c r="F166" s="4" t="s">
        <v>294</v>
      </c>
      <c r="G166" s="10" t="n">
        <v>6220.6</v>
      </c>
      <c r="H166" s="10" t="n">
        <v>187.05</v>
      </c>
      <c r="I166" s="10" t="n">
        <v>6033.55</v>
      </c>
      <c r="J166" s="10" t="n">
        <f aca="false">ROUND(G166-H166-I166, 2)</f>
        <v>0</v>
      </c>
    </row>
    <row r="167" customFormat="false" ht="18.75" hidden="false" customHeight="true" outlineLevel="0" collapsed="false">
      <c r="A167" s="7" t="s">
        <v>1035</v>
      </c>
      <c r="B167" s="7" t="s">
        <v>1036</v>
      </c>
      <c r="C167" s="7" t="s">
        <v>593</v>
      </c>
      <c r="D167" s="7" t="s">
        <v>175</v>
      </c>
      <c r="E167" s="7" t="s">
        <v>826</v>
      </c>
      <c r="F167" s="7" t="s">
        <v>294</v>
      </c>
      <c r="G167" s="12" t="n">
        <v>6393.89</v>
      </c>
      <c r="H167" s="12" t="n">
        <v>111.17</v>
      </c>
      <c r="I167" s="12" t="n">
        <v>6282.72</v>
      </c>
      <c r="J167" s="12" t="n">
        <f aca="false">ROUND(G167-H167-I167, 2)</f>
        <v>0</v>
      </c>
    </row>
    <row r="168" customFormat="false" ht="18.75" hidden="false" customHeight="true" outlineLevel="0" collapsed="false">
      <c r="A168" s="4" t="s">
        <v>1037</v>
      </c>
      <c r="B168" s="4" t="s">
        <v>1038</v>
      </c>
      <c r="C168" s="4" t="s">
        <v>596</v>
      </c>
      <c r="D168" s="4" t="s">
        <v>180</v>
      </c>
      <c r="E168" s="4" t="s">
        <v>829</v>
      </c>
      <c r="F168" s="4" t="s">
        <v>298</v>
      </c>
      <c r="G168" s="10" t="n">
        <v>6566.18</v>
      </c>
      <c r="H168" s="10" t="n">
        <v>161.79</v>
      </c>
      <c r="I168" s="10" t="n">
        <v>6404.39</v>
      </c>
      <c r="J168" s="10" t="n">
        <f aca="false">ROUND(G168-H168-I168, 2)</f>
        <v>0</v>
      </c>
    </row>
    <row r="169" customFormat="false" ht="18.75" hidden="false" customHeight="true" outlineLevel="0" collapsed="false">
      <c r="A169" s="7" t="s">
        <v>1039</v>
      </c>
      <c r="B169" s="7" t="s">
        <v>1040</v>
      </c>
      <c r="C169" s="7" t="s">
        <v>599</v>
      </c>
      <c r="D169" s="7" t="s">
        <v>185</v>
      </c>
      <c r="E169" s="7" t="s">
        <v>832</v>
      </c>
      <c r="F169" s="7" t="s">
        <v>302</v>
      </c>
      <c r="G169" s="12" t="n">
        <v>6739.47</v>
      </c>
      <c r="H169" s="12" t="n">
        <v>186.45</v>
      </c>
      <c r="I169" s="12" t="n">
        <v>6553.02</v>
      </c>
      <c r="J169" s="12" t="n">
        <f aca="false">ROUND(G169-H169-I169, 2)</f>
        <v>0</v>
      </c>
    </row>
    <row r="170" customFormat="false" ht="18.75" hidden="false" customHeight="true" outlineLevel="0" collapsed="false">
      <c r="A170" s="4" t="s">
        <v>1041</v>
      </c>
      <c r="B170" s="4" t="s">
        <v>1042</v>
      </c>
      <c r="C170" s="4" t="s">
        <v>602</v>
      </c>
      <c r="D170" s="4" t="s">
        <v>190</v>
      </c>
      <c r="E170" s="4" t="s">
        <v>835</v>
      </c>
      <c r="F170" s="4" t="s">
        <v>306</v>
      </c>
      <c r="G170" s="10" t="n">
        <v>6912.76</v>
      </c>
      <c r="H170" s="10" t="n">
        <v>141.03</v>
      </c>
      <c r="I170" s="10" t="n">
        <v>6771.73</v>
      </c>
      <c r="J170" s="10" t="n">
        <f aca="false">ROUND(G170-H170-I170, 2)</f>
        <v>0</v>
      </c>
    </row>
    <row r="171" customFormat="false" ht="18.75" hidden="false" customHeight="true" outlineLevel="0" collapsed="false">
      <c r="A171" s="7" t="s">
        <v>1043</v>
      </c>
      <c r="B171" s="7" t="s">
        <v>1044</v>
      </c>
      <c r="C171" s="7" t="s">
        <v>605</v>
      </c>
      <c r="D171" s="7" t="s">
        <v>195</v>
      </c>
      <c r="E171" s="7" t="s">
        <v>838</v>
      </c>
      <c r="F171" s="7" t="s">
        <v>306</v>
      </c>
      <c r="G171" s="12" t="n">
        <v>7085.05</v>
      </c>
      <c r="H171" s="12" t="n">
        <v>139.71</v>
      </c>
      <c r="I171" s="12" t="n">
        <v>6945.34</v>
      </c>
      <c r="J171" s="12" t="n">
        <f aca="false">ROUND(G171-H171-I171, 2)</f>
        <v>0</v>
      </c>
    </row>
    <row r="172" customFormat="false" ht="18.75" hidden="false" customHeight="true" outlineLevel="0" collapsed="false">
      <c r="A172" s="4" t="s">
        <v>1045</v>
      </c>
      <c r="B172" s="4" t="s">
        <v>1046</v>
      </c>
      <c r="C172" s="4" t="s">
        <v>608</v>
      </c>
      <c r="D172" s="4" t="s">
        <v>200</v>
      </c>
      <c r="E172" s="4" t="s">
        <v>841</v>
      </c>
      <c r="F172" s="4" t="s">
        <v>322</v>
      </c>
      <c r="G172" s="10" t="n">
        <v>7258.34</v>
      </c>
      <c r="H172" s="10" t="n">
        <v>160.81</v>
      </c>
      <c r="I172" s="10" t="n">
        <v>7097.53</v>
      </c>
      <c r="J172" s="10" t="n">
        <f aca="false">ROUND(G172-H172-I172, 2)</f>
        <v>0</v>
      </c>
    </row>
    <row r="173" customFormat="false" ht="18.75" hidden="false" customHeight="true" outlineLevel="0" collapsed="false">
      <c r="A173" s="7" t="s">
        <v>1047</v>
      </c>
      <c r="B173" s="7" t="s">
        <v>1048</v>
      </c>
      <c r="C173" s="7" t="s">
        <v>611</v>
      </c>
      <c r="D173" s="7" t="s">
        <v>205</v>
      </c>
      <c r="E173" s="7" t="s">
        <v>844</v>
      </c>
      <c r="F173" s="7" t="s">
        <v>322</v>
      </c>
      <c r="G173" s="12" t="n">
        <v>7431.63</v>
      </c>
      <c r="H173" s="12" t="n">
        <v>191.49</v>
      </c>
      <c r="I173" s="12" t="n">
        <v>7240.14</v>
      </c>
      <c r="J173" s="12" t="n">
        <f aca="false">ROUND(G173-H173-I173, 2)</f>
        <v>0</v>
      </c>
    </row>
    <row r="174" customFormat="false" ht="18.75" hidden="false" customHeight="true" outlineLevel="0" collapsed="false">
      <c r="A174" s="4" t="s">
        <v>1049</v>
      </c>
      <c r="B174" s="4" t="s">
        <v>1050</v>
      </c>
      <c r="C174" s="4" t="s">
        <v>614</v>
      </c>
      <c r="D174" s="4" t="s">
        <v>210</v>
      </c>
      <c r="E174" s="4" t="s">
        <v>847</v>
      </c>
      <c r="F174" s="4" t="s">
        <v>318</v>
      </c>
      <c r="G174" s="10" t="n">
        <v>7604.92</v>
      </c>
      <c r="H174" s="10" t="n">
        <v>145.35</v>
      </c>
      <c r="I174" s="10" t="n">
        <v>7459.57</v>
      </c>
      <c r="J174" s="10" t="n">
        <f aca="false">ROUND(G174-H174-I174, 2)</f>
        <v>0</v>
      </c>
    </row>
    <row r="175" customFormat="false" ht="18.75" hidden="false" customHeight="true" outlineLevel="0" collapsed="false">
      <c r="A175" s="7" t="s">
        <v>1051</v>
      </c>
      <c r="B175" s="7" t="s">
        <v>1052</v>
      </c>
      <c r="C175" s="7" t="s">
        <v>617</v>
      </c>
      <c r="D175" s="7" t="s">
        <v>215</v>
      </c>
      <c r="E175" s="7" t="s">
        <v>850</v>
      </c>
      <c r="F175" s="7" t="s">
        <v>851</v>
      </c>
      <c r="G175" s="12" t="n">
        <v>7777.21</v>
      </c>
      <c r="H175" s="12" t="n">
        <v>210.03</v>
      </c>
      <c r="I175" s="12" t="n">
        <v>7567.18</v>
      </c>
      <c r="J175" s="12" t="n">
        <f aca="false">ROUND(G175-H175-I175, 2)</f>
        <v>0</v>
      </c>
    </row>
    <row r="176" customFormat="false" ht="18.75" hidden="false" customHeight="true" outlineLevel="0" collapsed="false">
      <c r="A176" s="4" t="s">
        <v>1053</v>
      </c>
      <c r="B176" s="4" t="s">
        <v>1054</v>
      </c>
      <c r="C176" s="4" t="s">
        <v>620</v>
      </c>
      <c r="D176" s="4" t="s">
        <v>220</v>
      </c>
      <c r="E176" s="4" t="s">
        <v>854</v>
      </c>
      <c r="F176" s="4" t="s">
        <v>851</v>
      </c>
      <c r="G176" s="10" t="n">
        <v>7950.5</v>
      </c>
      <c r="H176" s="10" t="n">
        <v>142.5</v>
      </c>
      <c r="I176" s="10" t="n">
        <v>7808</v>
      </c>
      <c r="J176" s="10" t="n">
        <f aca="false">ROUND(G176-H176-I176, 2)</f>
        <v>0</v>
      </c>
    </row>
    <row r="177" customFormat="false" ht="18.75" hidden="false" customHeight="true" outlineLevel="0" collapsed="false">
      <c r="A177" s="7" t="s">
        <v>1055</v>
      </c>
      <c r="B177" s="7" t="s">
        <v>1056</v>
      </c>
      <c r="C177" s="7" t="s">
        <v>623</v>
      </c>
      <c r="D177" s="7" t="s">
        <v>99</v>
      </c>
      <c r="E177" s="7" t="s">
        <v>707</v>
      </c>
      <c r="F177" s="7" t="s">
        <v>107</v>
      </c>
      <c r="G177" s="12" t="n">
        <v>8123.79</v>
      </c>
      <c r="H177" s="12" t="n">
        <v>174.91</v>
      </c>
      <c r="I177" s="12" t="n">
        <v>7948.88</v>
      </c>
      <c r="J177" s="12" t="n">
        <f aca="false">ROUND(G177-H177-I177, 2)</f>
        <v>0</v>
      </c>
    </row>
    <row r="178" customFormat="false" ht="18.75" hidden="false" customHeight="true" outlineLevel="0" collapsed="false">
      <c r="A178" s="4" t="s">
        <v>1057</v>
      </c>
      <c r="B178" s="4" t="s">
        <v>1058</v>
      </c>
      <c r="C178" s="4" t="s">
        <v>626</v>
      </c>
      <c r="D178" s="4" t="s">
        <v>105</v>
      </c>
      <c r="E178" s="4" t="s">
        <v>710</v>
      </c>
      <c r="F178" s="4" t="s">
        <v>112</v>
      </c>
      <c r="G178" s="10" t="n">
        <v>8296.08</v>
      </c>
      <c r="H178" s="10" t="n">
        <v>138.83</v>
      </c>
      <c r="I178" s="10" t="n">
        <v>8157.25</v>
      </c>
      <c r="J178" s="10" t="n">
        <f aca="false">ROUND(G178-H178-I178, 2)</f>
        <v>0</v>
      </c>
    </row>
    <row r="179" customFormat="false" ht="18.75" hidden="false" customHeight="true" outlineLevel="0" collapsed="false">
      <c r="A179" s="7" t="s">
        <v>1059</v>
      </c>
      <c r="B179" s="7" t="s">
        <v>1060</v>
      </c>
      <c r="C179" s="7" t="s">
        <v>629</v>
      </c>
      <c r="D179" s="7" t="s">
        <v>110</v>
      </c>
      <c r="E179" s="7" t="s">
        <v>713</v>
      </c>
      <c r="F179" s="7" t="s">
        <v>132</v>
      </c>
      <c r="G179" s="12" t="n">
        <v>8469.37</v>
      </c>
      <c r="H179" s="12" t="n">
        <v>223.41</v>
      </c>
      <c r="I179" s="12" t="n">
        <v>8245.96</v>
      </c>
      <c r="J179" s="12" t="n">
        <f aca="false">ROUND(G179-H179-I179, 2)</f>
        <v>0</v>
      </c>
    </row>
    <row r="180" customFormat="false" ht="18.75" hidden="false" customHeight="true" outlineLevel="0" collapsed="false">
      <c r="A180" s="4" t="s">
        <v>1061</v>
      </c>
      <c r="B180" s="4" t="s">
        <v>1062</v>
      </c>
      <c r="C180" s="4" t="s">
        <v>632</v>
      </c>
      <c r="D180" s="4" t="s">
        <v>115</v>
      </c>
      <c r="E180" s="4" t="s">
        <v>716</v>
      </c>
      <c r="F180" s="4" t="s">
        <v>137</v>
      </c>
      <c r="G180" s="10" t="n">
        <v>8642.66</v>
      </c>
      <c r="H180" s="10" t="n">
        <v>180.84</v>
      </c>
      <c r="I180" s="10" t="n">
        <v>8461.82</v>
      </c>
      <c r="J180" s="10" t="n">
        <f aca="false">ROUND(G180-H180-I180, 2)</f>
        <v>0</v>
      </c>
    </row>
    <row r="181" customFormat="false" ht="18.75" hidden="false" customHeight="true" outlineLevel="0" collapsed="false">
      <c r="A181" s="7" t="s">
        <v>1063</v>
      </c>
      <c r="B181" s="7" t="s">
        <v>1064</v>
      </c>
      <c r="C181" s="7" t="s">
        <v>635</v>
      </c>
      <c r="D181" s="7" t="s">
        <v>120</v>
      </c>
      <c r="E181" s="7" t="s">
        <v>719</v>
      </c>
      <c r="F181" s="7" t="s">
        <v>137</v>
      </c>
      <c r="G181" s="12" t="n">
        <v>8815.95</v>
      </c>
      <c r="H181" s="12" t="n">
        <v>211.01</v>
      </c>
      <c r="I181" s="12" t="n">
        <v>8604.94</v>
      </c>
      <c r="J181" s="12" t="n">
        <f aca="false">ROUND(G181-H181-I181, 2)</f>
        <v>0</v>
      </c>
    </row>
    <row r="182" customFormat="false" ht="18.75" hidden="false" customHeight="true" outlineLevel="0" collapsed="false">
      <c r="A182" s="4" t="s">
        <v>1065</v>
      </c>
      <c r="B182" s="4" t="s">
        <v>1066</v>
      </c>
      <c r="C182" s="4" t="s">
        <v>638</v>
      </c>
      <c r="D182" s="4" t="s">
        <v>125</v>
      </c>
      <c r="E182" s="4" t="s">
        <v>722</v>
      </c>
      <c r="F182" s="4" t="s">
        <v>137</v>
      </c>
      <c r="G182" s="10" t="n">
        <v>8988.24</v>
      </c>
      <c r="H182" s="10" t="n">
        <v>203.88</v>
      </c>
      <c r="I182" s="10" t="n">
        <v>8784.36</v>
      </c>
      <c r="J182" s="10" t="n">
        <f aca="false">ROUND(G182-H182-I182, 2)</f>
        <v>0</v>
      </c>
    </row>
    <row r="183" customFormat="false" ht="18.75" hidden="false" customHeight="true" outlineLevel="0" collapsed="false">
      <c r="A183" s="7" t="s">
        <v>1067</v>
      </c>
      <c r="B183" s="7" t="s">
        <v>1068</v>
      </c>
      <c r="C183" s="7" t="s">
        <v>641</v>
      </c>
      <c r="D183" s="7" t="s">
        <v>130</v>
      </c>
      <c r="E183" s="7" t="s">
        <v>725</v>
      </c>
      <c r="F183" s="7" t="s">
        <v>137</v>
      </c>
      <c r="G183" s="12" t="n">
        <v>9161.53</v>
      </c>
      <c r="H183" s="12" t="n">
        <v>163.93</v>
      </c>
      <c r="I183" s="12" t="n">
        <v>8997.6</v>
      </c>
      <c r="J183" s="12" t="n">
        <f aca="false">ROUND(G183-H183-I183, 2)</f>
        <v>0</v>
      </c>
    </row>
    <row r="184" customFormat="false" ht="18.75" hidden="false" customHeight="true" outlineLevel="0" collapsed="false">
      <c r="A184" s="4" t="s">
        <v>1069</v>
      </c>
      <c r="B184" s="4" t="s">
        <v>1070</v>
      </c>
      <c r="C184" s="4" t="s">
        <v>644</v>
      </c>
      <c r="D184" s="4" t="s">
        <v>135</v>
      </c>
      <c r="E184" s="4" t="s">
        <v>728</v>
      </c>
      <c r="F184" s="4" t="s">
        <v>147</v>
      </c>
      <c r="G184" s="10" t="n">
        <v>9334.82</v>
      </c>
      <c r="H184" s="10" t="n">
        <v>268.5</v>
      </c>
      <c r="I184" s="10" t="n">
        <v>9066.32</v>
      </c>
      <c r="J184" s="10" t="n">
        <f aca="false">ROUND(G184-H184-I184, 2)</f>
        <v>0</v>
      </c>
    </row>
    <row r="185" customFormat="false" ht="18.75" hidden="false" customHeight="true" outlineLevel="0" collapsed="false">
      <c r="A185" s="7" t="s">
        <v>1071</v>
      </c>
      <c r="B185" s="7" t="s">
        <v>1072</v>
      </c>
      <c r="C185" s="7" t="s">
        <v>647</v>
      </c>
      <c r="D185" s="7" t="s">
        <v>140</v>
      </c>
      <c r="E185" s="7" t="s">
        <v>731</v>
      </c>
      <c r="F185" s="7" t="s">
        <v>147</v>
      </c>
      <c r="G185" s="12" t="n">
        <v>9507.11</v>
      </c>
      <c r="H185" s="12" t="n">
        <v>152.63</v>
      </c>
      <c r="I185" s="12" t="n">
        <v>9354.48</v>
      </c>
      <c r="J185" s="12" t="n">
        <f aca="false">ROUND(G185-H185-I185, 2)</f>
        <v>0</v>
      </c>
    </row>
    <row r="186" customFormat="false" ht="18.75" hidden="false" customHeight="true" outlineLevel="0" collapsed="false">
      <c r="A186" s="4" t="s">
        <v>1073</v>
      </c>
      <c r="B186" s="4" t="s">
        <v>1074</v>
      </c>
      <c r="C186" s="4" t="s">
        <v>650</v>
      </c>
      <c r="D186" s="4" t="s">
        <v>145</v>
      </c>
      <c r="E186" s="4" t="s">
        <v>734</v>
      </c>
      <c r="F186" s="4" t="s">
        <v>167</v>
      </c>
      <c r="G186" s="10" t="n">
        <v>9680.4</v>
      </c>
      <c r="H186" s="10" t="n">
        <v>242.24</v>
      </c>
      <c r="I186" s="10" t="n">
        <v>9438.16</v>
      </c>
      <c r="J186" s="10" t="n">
        <f aca="false">ROUND(G186-H186-I186, 2)</f>
        <v>0</v>
      </c>
    </row>
    <row r="187" customFormat="false" ht="18.75" hidden="false" customHeight="true" outlineLevel="0" collapsed="false">
      <c r="A187" s="7" t="s">
        <v>1075</v>
      </c>
      <c r="B187" s="7" t="s">
        <v>1076</v>
      </c>
      <c r="C187" s="7" t="s">
        <v>653</v>
      </c>
      <c r="D187" s="7" t="s">
        <v>150</v>
      </c>
      <c r="E187" s="7" t="s">
        <v>737</v>
      </c>
      <c r="F187" s="7" t="s">
        <v>172</v>
      </c>
      <c r="G187" s="12" t="n">
        <v>9853.69</v>
      </c>
      <c r="H187" s="12" t="n">
        <v>217.46</v>
      </c>
      <c r="I187" s="12" t="n">
        <v>9636.23</v>
      </c>
      <c r="J187" s="12" t="n">
        <f aca="false">ROUND(G187-H187-I187, 2)</f>
        <v>0</v>
      </c>
    </row>
    <row r="188" customFormat="false" ht="18.75" hidden="false" customHeight="true" outlineLevel="0" collapsed="false">
      <c r="A188" s="4" t="s">
        <v>1077</v>
      </c>
      <c r="B188" s="4" t="s">
        <v>1078</v>
      </c>
      <c r="C188" s="4" t="s">
        <v>656</v>
      </c>
      <c r="D188" s="4" t="s">
        <v>155</v>
      </c>
      <c r="E188" s="4" t="s">
        <v>740</v>
      </c>
      <c r="F188" s="4" t="s">
        <v>167</v>
      </c>
      <c r="G188" s="10" t="n">
        <v>10026.98</v>
      </c>
      <c r="H188" s="10" t="n">
        <v>191.08</v>
      </c>
      <c r="I188" s="10" t="n">
        <v>9835.9</v>
      </c>
      <c r="J188" s="10" t="n">
        <f aca="false">ROUND(G188-H188-I188, 2)</f>
        <v>0</v>
      </c>
    </row>
    <row r="189" customFormat="false" ht="18.75" hidden="false" customHeight="true" outlineLevel="0" collapsed="false">
      <c r="A189" s="7" t="s">
        <v>1079</v>
      </c>
      <c r="B189" s="7" t="s">
        <v>1080</v>
      </c>
      <c r="C189" s="7" t="s">
        <v>659</v>
      </c>
      <c r="D189" s="7" t="s">
        <v>160</v>
      </c>
      <c r="E189" s="7" t="s">
        <v>743</v>
      </c>
      <c r="F189" s="7" t="s">
        <v>172</v>
      </c>
      <c r="G189" s="12" t="n">
        <v>10199.27</v>
      </c>
      <c r="H189" s="12" t="n">
        <v>237.64</v>
      </c>
      <c r="I189" s="12" t="n">
        <v>9961.63</v>
      </c>
      <c r="J189" s="12" t="n">
        <f aca="false">ROUND(G189-H189-I189, 2)</f>
        <v>0</v>
      </c>
    </row>
    <row r="190" customFormat="false" ht="18.75" hidden="false" customHeight="true" outlineLevel="0" collapsed="false">
      <c r="A190" s="4" t="s">
        <v>1081</v>
      </c>
      <c r="B190" s="4" t="s">
        <v>1082</v>
      </c>
      <c r="C190" s="4" t="s">
        <v>662</v>
      </c>
      <c r="D190" s="4" t="s">
        <v>165</v>
      </c>
      <c r="E190" s="4" t="s">
        <v>746</v>
      </c>
      <c r="F190" s="4" t="s">
        <v>172</v>
      </c>
      <c r="G190" s="10" t="n">
        <v>10372.56</v>
      </c>
      <c r="H190" s="10" t="n">
        <v>190.89</v>
      </c>
      <c r="I190" s="10" t="n">
        <v>10181.67</v>
      </c>
      <c r="J190" s="10" t="n">
        <f aca="false">ROUND(G190-H190-I190, 2)</f>
        <v>0</v>
      </c>
    </row>
    <row r="191" customFormat="false" ht="18.75" hidden="false" customHeight="true" outlineLevel="0" collapsed="false">
      <c r="A191" s="7" t="s">
        <v>1083</v>
      </c>
      <c r="B191" s="7" t="s">
        <v>1084</v>
      </c>
      <c r="C191" s="7" t="s">
        <v>665</v>
      </c>
      <c r="D191" s="7" t="s">
        <v>170</v>
      </c>
      <c r="E191" s="7" t="s">
        <v>749</v>
      </c>
      <c r="F191" s="7" t="s">
        <v>182</v>
      </c>
      <c r="G191" s="12" t="n">
        <v>10545.85</v>
      </c>
      <c r="H191" s="12" t="n">
        <v>314.65</v>
      </c>
      <c r="I191" s="12" t="n">
        <v>10231.2</v>
      </c>
      <c r="J191" s="12" t="n">
        <f aca="false">ROUND(G191-H191-I191, 2)</f>
        <v>0</v>
      </c>
    </row>
    <row r="192" customFormat="false" ht="18.75" hidden="false" customHeight="true" outlineLevel="0" collapsed="false">
      <c r="A192" s="4" t="s">
        <v>1085</v>
      </c>
      <c r="B192" s="4" t="s">
        <v>1086</v>
      </c>
      <c r="C192" s="4" t="s">
        <v>668</v>
      </c>
      <c r="D192" s="4" t="s">
        <v>175</v>
      </c>
      <c r="E192" s="4" t="s">
        <v>752</v>
      </c>
      <c r="F192" s="4" t="s">
        <v>187</v>
      </c>
      <c r="G192" s="10" t="n">
        <v>10718.14</v>
      </c>
      <c r="H192" s="10" t="n">
        <v>185.15</v>
      </c>
      <c r="I192" s="10" t="n">
        <v>10532.99</v>
      </c>
      <c r="J192" s="10" t="n">
        <f aca="false">ROUND(G192-H192-I192, 2)</f>
        <v>0</v>
      </c>
    </row>
    <row r="193" customFormat="false" ht="18.75" hidden="false" customHeight="true" outlineLevel="0" collapsed="false">
      <c r="A193" s="7" t="s">
        <v>1087</v>
      </c>
      <c r="B193" s="7" t="s">
        <v>1088</v>
      </c>
      <c r="C193" s="7" t="s">
        <v>671</v>
      </c>
      <c r="D193" s="7" t="s">
        <v>180</v>
      </c>
      <c r="E193" s="7" t="s">
        <v>755</v>
      </c>
      <c r="F193" s="7" t="s">
        <v>202</v>
      </c>
      <c r="G193" s="12" t="n">
        <v>10891.43</v>
      </c>
      <c r="H193" s="12" t="n">
        <v>266.41</v>
      </c>
      <c r="I193" s="12" t="n">
        <v>10625.02</v>
      </c>
      <c r="J193" s="12" t="n">
        <f aca="false">ROUND(G193-H193-I193, 2)</f>
        <v>0</v>
      </c>
    </row>
    <row r="194" customFormat="false" ht="18.75" hidden="false" customHeight="true" outlineLevel="0" collapsed="false">
      <c r="A194" s="4" t="s">
        <v>1089</v>
      </c>
      <c r="B194" s="4" t="s">
        <v>1090</v>
      </c>
      <c r="C194" s="4" t="s">
        <v>674</v>
      </c>
      <c r="D194" s="4" t="s">
        <v>185</v>
      </c>
      <c r="E194" s="4" t="s">
        <v>758</v>
      </c>
      <c r="F194" s="4" t="s">
        <v>207</v>
      </c>
      <c r="G194" s="10" t="n">
        <v>11064.72</v>
      </c>
      <c r="H194" s="10" t="n">
        <v>303.84</v>
      </c>
      <c r="I194" s="10" t="n">
        <v>10760.88</v>
      </c>
      <c r="J194" s="10" t="n">
        <f aca="false">ROUND(G194-H194-I194, 2)</f>
        <v>0</v>
      </c>
    </row>
    <row r="195" customFormat="false" ht="18.75" hidden="false" customHeight="true" outlineLevel="0" collapsed="false">
      <c r="A195" s="7" t="s">
        <v>1091</v>
      </c>
      <c r="B195" s="7" t="s">
        <v>1092</v>
      </c>
      <c r="C195" s="7" t="s">
        <v>677</v>
      </c>
      <c r="D195" s="7" t="s">
        <v>190</v>
      </c>
      <c r="E195" s="7" t="s">
        <v>761</v>
      </c>
      <c r="F195" s="7" t="s">
        <v>207</v>
      </c>
      <c r="G195" s="12" t="n">
        <v>11237.01</v>
      </c>
      <c r="H195" s="12" t="n">
        <v>227.78</v>
      </c>
      <c r="I195" s="12" t="n">
        <v>11009.23</v>
      </c>
      <c r="J195" s="12" t="n">
        <f aca="false">ROUND(G195-H195-I195, 2)</f>
        <v>0</v>
      </c>
    </row>
    <row r="196" customFormat="false" ht="18.75" hidden="false" customHeight="true" outlineLevel="0" collapsed="false">
      <c r="A196" s="4" t="s">
        <v>1093</v>
      </c>
      <c r="B196" s="4" t="s">
        <v>1094</v>
      </c>
      <c r="C196" s="4" t="s">
        <v>680</v>
      </c>
      <c r="D196" s="4" t="s">
        <v>195</v>
      </c>
      <c r="E196" s="4" t="s">
        <v>764</v>
      </c>
      <c r="F196" s="4" t="s">
        <v>202</v>
      </c>
      <c r="G196" s="10" t="n">
        <v>11410.3</v>
      </c>
      <c r="H196" s="10" t="n">
        <v>223.93</v>
      </c>
      <c r="I196" s="10" t="n">
        <v>11186.37</v>
      </c>
      <c r="J196" s="10" t="n">
        <f aca="false">ROUND(G196-H196-I196, 2)</f>
        <v>0</v>
      </c>
    </row>
    <row r="197" customFormat="false" ht="18.75" hidden="false" customHeight="true" outlineLevel="0" collapsed="false">
      <c r="A197" s="7" t="s">
        <v>1095</v>
      </c>
      <c r="B197" s="7" t="s">
        <v>1096</v>
      </c>
      <c r="C197" s="7" t="s">
        <v>683</v>
      </c>
      <c r="D197" s="7" t="s">
        <v>200</v>
      </c>
      <c r="E197" s="7" t="s">
        <v>767</v>
      </c>
      <c r="F197" s="7" t="s">
        <v>212</v>
      </c>
      <c r="G197" s="12" t="n">
        <v>11583.59</v>
      </c>
      <c r="H197" s="12" t="n">
        <v>255.23</v>
      </c>
      <c r="I197" s="12" t="n">
        <v>11328.36</v>
      </c>
      <c r="J197" s="12" t="n">
        <f aca="false">ROUND(G197-H197-I197, 2)</f>
        <v>0</v>
      </c>
    </row>
    <row r="198" customFormat="false" ht="18.75" hidden="false" customHeight="true" outlineLevel="0" collapsed="false">
      <c r="A198" s="4" t="s">
        <v>1097</v>
      </c>
      <c r="B198" s="4" t="s">
        <v>1098</v>
      </c>
      <c r="C198" s="4" t="s">
        <v>686</v>
      </c>
      <c r="D198" s="4" t="s">
        <v>205</v>
      </c>
      <c r="E198" s="4" t="s">
        <v>770</v>
      </c>
      <c r="F198" s="4" t="s">
        <v>217</v>
      </c>
      <c r="G198" s="10" t="n">
        <v>11756.88</v>
      </c>
      <c r="H198" s="10" t="n">
        <v>301.22</v>
      </c>
      <c r="I198" s="10" t="n">
        <v>11455.66</v>
      </c>
      <c r="J198" s="10" t="n">
        <f aca="false">ROUND(G198-H198-I198, 2)</f>
        <v>0</v>
      </c>
    </row>
    <row r="199" customFormat="false" ht="18.75" hidden="false" customHeight="true" outlineLevel="0" collapsed="false">
      <c r="A199" s="7" t="s">
        <v>1099</v>
      </c>
      <c r="B199" s="7" t="s">
        <v>1100</v>
      </c>
      <c r="C199" s="7" t="s">
        <v>689</v>
      </c>
      <c r="D199" s="7" t="s">
        <v>210</v>
      </c>
      <c r="E199" s="7" t="s">
        <v>773</v>
      </c>
      <c r="F199" s="7" t="s">
        <v>217</v>
      </c>
      <c r="G199" s="12" t="n">
        <v>11929.17</v>
      </c>
      <c r="H199" s="12" t="n">
        <v>227</v>
      </c>
      <c r="I199" s="12" t="n">
        <v>11702.17</v>
      </c>
      <c r="J199" s="12" t="n">
        <f aca="false">ROUND(G199-H199-I199, 2)</f>
        <v>0</v>
      </c>
    </row>
    <row r="200" customFormat="false" ht="18.75" hidden="false" customHeight="true" outlineLevel="0" collapsed="false">
      <c r="A200" s="4" t="s">
        <v>1101</v>
      </c>
      <c r="B200" s="4" t="s">
        <v>1102</v>
      </c>
      <c r="C200" s="4" t="s">
        <v>692</v>
      </c>
      <c r="D200" s="4" t="s">
        <v>215</v>
      </c>
      <c r="E200" s="4" t="s">
        <v>776</v>
      </c>
      <c r="F200" s="4" t="s">
        <v>234</v>
      </c>
      <c r="G200" s="10" t="n">
        <v>12102.46</v>
      </c>
      <c r="H200" s="10" t="n">
        <v>324.87</v>
      </c>
      <c r="I200" s="10" t="n">
        <v>11777.59</v>
      </c>
      <c r="J200" s="10" t="n">
        <f aca="false">ROUND(G200-H200-I200, 2)</f>
        <v>0</v>
      </c>
    </row>
    <row r="201" customFormat="false" ht="18.75" hidden="false" customHeight="true" outlineLevel="0" collapsed="false">
      <c r="A201" s="7" t="s">
        <v>1103</v>
      </c>
      <c r="B201" s="7" t="s">
        <v>1104</v>
      </c>
      <c r="C201" s="7" t="s">
        <v>695</v>
      </c>
      <c r="D201" s="7" t="s">
        <v>220</v>
      </c>
      <c r="E201" s="7" t="s">
        <v>779</v>
      </c>
      <c r="F201" s="7" t="s">
        <v>234</v>
      </c>
      <c r="G201" s="12" t="n">
        <v>12275.75</v>
      </c>
      <c r="H201" s="12" t="n">
        <v>219.06</v>
      </c>
      <c r="I201" s="12" t="n">
        <v>12056.69</v>
      </c>
      <c r="J201" s="12" t="n">
        <f aca="false">ROUND(G201-H201-I201, 2)</f>
        <v>0</v>
      </c>
    </row>
    <row r="202" customFormat="false" ht="21.75" hidden="false" customHeight="true" outlineLevel="0" collapsed="false">
      <c r="A202" s="14" t="s">
        <v>85</v>
      </c>
      <c r="B202" s="14" t="s">
        <v>86</v>
      </c>
      <c r="C202" s="14" t="s">
        <v>86</v>
      </c>
      <c r="D202" s="14" t="s">
        <v>86</v>
      </c>
      <c r="E202" s="14" t="s">
        <v>86</v>
      </c>
      <c r="F202" s="14" t="s">
        <v>86</v>
      </c>
      <c r="G202" s="16" t="n">
        <f aca="false">SUM(G2:G201)</f>
        <v>1493024.25</v>
      </c>
      <c r="H202" s="16" t="n">
        <f aca="false">SUM(H2:H201)</f>
        <v>33180.66</v>
      </c>
      <c r="I202" s="16" t="n">
        <f aca="false">SUM(I2:I201)</f>
        <v>1459843.59</v>
      </c>
      <c r="J202" s="16" t="n">
        <f aca="false">SUM(J2:J201)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8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29"/>
  </cols>
  <sheetData>
    <row r="1" customFormat="false" ht="24" hidden="false" customHeight="true" outlineLevel="0" collapsed="false">
      <c r="A1" s="1" t="s">
        <v>1105</v>
      </c>
      <c r="B1" s="1" t="s">
        <v>1106</v>
      </c>
      <c r="C1" s="1" t="s">
        <v>699</v>
      </c>
      <c r="D1" s="1" t="s">
        <v>1107</v>
      </c>
      <c r="E1" s="1" t="s">
        <v>89</v>
      </c>
      <c r="F1" s="1" t="s">
        <v>1108</v>
      </c>
      <c r="G1" s="3" t="s">
        <v>1109</v>
      </c>
      <c r="H1" s="3" t="s">
        <v>1110</v>
      </c>
      <c r="I1" s="3" t="s">
        <v>1111</v>
      </c>
    </row>
    <row r="2" customFormat="false" ht="18.75" hidden="false" customHeight="true" outlineLevel="0" collapsed="false">
      <c r="A2" s="4" t="s">
        <v>1112</v>
      </c>
      <c r="B2" s="4" t="s">
        <v>1113</v>
      </c>
      <c r="C2" s="4" t="s">
        <v>706</v>
      </c>
      <c r="D2" s="4" t="s">
        <v>97</v>
      </c>
      <c r="E2" s="4" t="s">
        <v>99</v>
      </c>
      <c r="F2" s="4" t="s">
        <v>107</v>
      </c>
      <c r="G2" s="10" t="n">
        <v>411.94</v>
      </c>
      <c r="H2" s="10" t="n">
        <v>0</v>
      </c>
      <c r="I2" s="10" t="n">
        <f aca="false">ROUND(G2-H2, 2)</f>
        <v>411.94</v>
      </c>
    </row>
    <row r="3" customFormat="false" ht="18.75" hidden="false" customHeight="true" outlineLevel="0" collapsed="false">
      <c r="A3" s="7" t="s">
        <v>1114</v>
      </c>
      <c r="B3" s="7" t="s">
        <v>1115</v>
      </c>
      <c r="C3" s="7" t="s">
        <v>709</v>
      </c>
      <c r="D3" s="7" t="s">
        <v>103</v>
      </c>
      <c r="E3" s="7" t="s">
        <v>105</v>
      </c>
      <c r="F3" s="7" t="s">
        <v>112</v>
      </c>
      <c r="G3" s="12" t="n">
        <v>584.96</v>
      </c>
      <c r="H3" s="12" t="n">
        <v>0</v>
      </c>
      <c r="I3" s="12" t="n">
        <f aca="false">ROUND(G3-H3, 2)</f>
        <v>584.96</v>
      </c>
    </row>
    <row r="4" customFormat="false" ht="18.75" hidden="false" customHeight="true" outlineLevel="0" collapsed="false">
      <c r="A4" s="4" t="s">
        <v>1116</v>
      </c>
      <c r="B4" s="4" t="s">
        <v>1117</v>
      </c>
      <c r="C4" s="4" t="s">
        <v>712</v>
      </c>
      <c r="D4" s="4" t="s">
        <v>108</v>
      </c>
      <c r="E4" s="4" t="s">
        <v>110</v>
      </c>
      <c r="F4" s="4" t="s">
        <v>132</v>
      </c>
      <c r="G4" s="10" t="n">
        <v>746.34</v>
      </c>
      <c r="H4" s="10" t="n">
        <v>0</v>
      </c>
      <c r="I4" s="10" t="n">
        <f aca="false">ROUND(G4-H4, 2)</f>
        <v>746.34</v>
      </c>
    </row>
    <row r="5" customFormat="false" ht="18.75" hidden="false" customHeight="true" outlineLevel="0" collapsed="false">
      <c r="A5" s="7" t="s">
        <v>1118</v>
      </c>
      <c r="B5" s="7" t="s">
        <v>1119</v>
      </c>
      <c r="C5" s="7" t="s">
        <v>715</v>
      </c>
      <c r="D5" s="7" t="s">
        <v>113</v>
      </c>
      <c r="E5" s="7" t="s">
        <v>115</v>
      </c>
      <c r="F5" s="7" t="s">
        <v>137</v>
      </c>
      <c r="G5" s="12" t="n">
        <v>920.34</v>
      </c>
      <c r="H5" s="12" t="n">
        <v>0</v>
      </c>
      <c r="I5" s="12" t="n">
        <f aca="false">ROUND(G5-H5, 2)</f>
        <v>920.34</v>
      </c>
    </row>
    <row r="6" customFormat="false" ht="18.75" hidden="false" customHeight="true" outlineLevel="0" collapsed="false">
      <c r="A6" s="4" t="s">
        <v>1120</v>
      </c>
      <c r="B6" s="4" t="s">
        <v>1121</v>
      </c>
      <c r="C6" s="4" t="s">
        <v>718</v>
      </c>
      <c r="D6" s="4" t="s">
        <v>118</v>
      </c>
      <c r="E6" s="4" t="s">
        <v>120</v>
      </c>
      <c r="F6" s="4" t="s">
        <v>137</v>
      </c>
      <c r="G6" s="10" t="n">
        <v>1086.17</v>
      </c>
      <c r="H6" s="10" t="n">
        <v>0</v>
      </c>
      <c r="I6" s="10" t="n">
        <f aca="false">ROUND(G6-H6, 2)</f>
        <v>1086.17</v>
      </c>
    </row>
    <row r="7" customFormat="false" ht="18.75" hidden="false" customHeight="true" outlineLevel="0" collapsed="false">
      <c r="A7" s="7" t="s">
        <v>1122</v>
      </c>
      <c r="B7" s="7" t="s">
        <v>1123</v>
      </c>
      <c r="C7" s="7" t="s">
        <v>721</v>
      </c>
      <c r="D7" s="7" t="s">
        <v>123</v>
      </c>
      <c r="E7" s="7" t="s">
        <v>125</v>
      </c>
      <c r="F7" s="7" t="s">
        <v>137</v>
      </c>
      <c r="G7" s="12" t="n">
        <v>1257.48</v>
      </c>
      <c r="H7" s="12" t="n">
        <v>0</v>
      </c>
      <c r="I7" s="12" t="n">
        <f aca="false">ROUND(G7-H7, 2)</f>
        <v>1257.48</v>
      </c>
    </row>
    <row r="8" customFormat="false" ht="18.75" hidden="false" customHeight="true" outlineLevel="0" collapsed="false">
      <c r="A8" s="4" t="s">
        <v>1124</v>
      </c>
      <c r="B8" s="4" t="s">
        <v>1125</v>
      </c>
      <c r="C8" s="4" t="s">
        <v>724</v>
      </c>
      <c r="D8" s="4" t="s">
        <v>128</v>
      </c>
      <c r="E8" s="4" t="s">
        <v>130</v>
      </c>
      <c r="F8" s="4" t="s">
        <v>137</v>
      </c>
      <c r="G8" s="10" t="n">
        <v>1433.39</v>
      </c>
      <c r="H8" s="10" t="n">
        <v>0</v>
      </c>
      <c r="I8" s="10" t="n">
        <f aca="false">ROUND(G8-H8, 2)</f>
        <v>1433.39</v>
      </c>
    </row>
    <row r="9" customFormat="false" ht="18.75" hidden="false" customHeight="true" outlineLevel="0" collapsed="false">
      <c r="A9" s="7" t="s">
        <v>1126</v>
      </c>
      <c r="B9" s="7" t="s">
        <v>1127</v>
      </c>
      <c r="C9" s="7" t="s">
        <v>727</v>
      </c>
      <c r="D9" s="7" t="s">
        <v>133</v>
      </c>
      <c r="E9" s="7" t="s">
        <v>135</v>
      </c>
      <c r="F9" s="7" t="s">
        <v>147</v>
      </c>
      <c r="G9" s="12" t="n">
        <v>1583.91</v>
      </c>
      <c r="H9" s="12" t="n">
        <v>0</v>
      </c>
      <c r="I9" s="12" t="n">
        <f aca="false">ROUND(G9-H9, 2)</f>
        <v>1583.91</v>
      </c>
    </row>
    <row r="10" customFormat="false" ht="18.75" hidden="false" customHeight="true" outlineLevel="0" collapsed="false">
      <c r="A10" s="4" t="s">
        <v>1128</v>
      </c>
      <c r="B10" s="4" t="s">
        <v>1129</v>
      </c>
      <c r="C10" s="4" t="s">
        <v>730</v>
      </c>
      <c r="D10" s="4" t="s">
        <v>138</v>
      </c>
      <c r="E10" s="4" t="s">
        <v>140</v>
      </c>
      <c r="F10" s="4" t="s">
        <v>147</v>
      </c>
      <c r="G10" s="10" t="n">
        <v>1777.64</v>
      </c>
      <c r="H10" s="10" t="n">
        <v>0</v>
      </c>
      <c r="I10" s="10" t="n">
        <f aca="false">ROUND(G10-H10, 2)</f>
        <v>1777.64</v>
      </c>
    </row>
    <row r="11" customFormat="false" ht="18.75" hidden="false" customHeight="true" outlineLevel="0" collapsed="false">
      <c r="A11" s="7" t="s">
        <v>1130</v>
      </c>
      <c r="B11" s="7" t="s">
        <v>1131</v>
      </c>
      <c r="C11" s="7" t="s">
        <v>733</v>
      </c>
      <c r="D11" s="7" t="s">
        <v>143</v>
      </c>
      <c r="E11" s="7" t="s">
        <v>145</v>
      </c>
      <c r="F11" s="7" t="s">
        <v>167</v>
      </c>
      <c r="G11" s="12" t="n">
        <v>1929.45</v>
      </c>
      <c r="H11" s="12" t="n">
        <v>0</v>
      </c>
      <c r="I11" s="12" t="n">
        <f aca="false">ROUND(G11-H11, 2)</f>
        <v>1929.45</v>
      </c>
    </row>
    <row r="12" customFormat="false" ht="18.75" hidden="false" customHeight="true" outlineLevel="0" collapsed="false">
      <c r="A12" s="4" t="s">
        <v>1132</v>
      </c>
      <c r="B12" s="4" t="s">
        <v>1133</v>
      </c>
      <c r="C12" s="4" t="s">
        <v>736</v>
      </c>
      <c r="D12" s="4" t="s">
        <v>148</v>
      </c>
      <c r="E12" s="4" t="s">
        <v>150</v>
      </c>
      <c r="F12" s="4" t="s">
        <v>172</v>
      </c>
      <c r="G12" s="10" t="n">
        <v>2103.83</v>
      </c>
      <c r="H12" s="10" t="n">
        <v>0</v>
      </c>
      <c r="I12" s="10" t="n">
        <f aca="false">ROUND(G12-H12, 2)</f>
        <v>2103.83</v>
      </c>
    </row>
    <row r="13" customFormat="false" ht="18.75" hidden="false" customHeight="true" outlineLevel="0" collapsed="false">
      <c r="A13" s="7" t="s">
        <v>1134</v>
      </c>
      <c r="B13" s="7" t="s">
        <v>1135</v>
      </c>
      <c r="C13" s="7" t="s">
        <v>739</v>
      </c>
      <c r="D13" s="7" t="s">
        <v>153</v>
      </c>
      <c r="E13" s="7" t="s">
        <v>155</v>
      </c>
      <c r="F13" s="7" t="s">
        <v>167</v>
      </c>
      <c r="G13" s="12" t="n">
        <v>2280.79</v>
      </c>
      <c r="H13" s="12" t="n">
        <v>0</v>
      </c>
      <c r="I13" s="12" t="n">
        <f aca="false">ROUND(G13-H13, 2)</f>
        <v>2280.79</v>
      </c>
    </row>
    <row r="14" customFormat="false" ht="18.75" hidden="false" customHeight="true" outlineLevel="0" collapsed="false">
      <c r="A14" s="4" t="s">
        <v>1136</v>
      </c>
      <c r="B14" s="4" t="s">
        <v>1137</v>
      </c>
      <c r="C14" s="4" t="s">
        <v>742</v>
      </c>
      <c r="D14" s="4" t="s">
        <v>158</v>
      </c>
      <c r="E14" s="4" t="s">
        <v>160</v>
      </c>
      <c r="F14" s="4" t="s">
        <v>172</v>
      </c>
      <c r="G14" s="10" t="n">
        <v>2439.29</v>
      </c>
      <c r="H14" s="10" t="n">
        <v>0</v>
      </c>
      <c r="I14" s="10" t="n">
        <f aca="false">ROUND(G14-H14, 2)</f>
        <v>2439.29</v>
      </c>
    </row>
    <row r="15" customFormat="false" ht="18.75" hidden="false" customHeight="true" outlineLevel="0" collapsed="false">
      <c r="A15" s="7" t="s">
        <v>1138</v>
      </c>
      <c r="B15" s="7" t="s">
        <v>1139</v>
      </c>
      <c r="C15" s="7" t="s">
        <v>745</v>
      </c>
      <c r="D15" s="7" t="s">
        <v>163</v>
      </c>
      <c r="E15" s="7" t="s">
        <v>165</v>
      </c>
      <c r="F15" s="7" t="s">
        <v>172</v>
      </c>
      <c r="G15" s="12" t="n">
        <v>2622</v>
      </c>
      <c r="H15" s="12" t="n">
        <v>0</v>
      </c>
      <c r="I15" s="12" t="n">
        <f aca="false">ROUND(G15-H15, 2)</f>
        <v>2622</v>
      </c>
    </row>
    <row r="16" customFormat="false" ht="18.75" hidden="false" customHeight="true" outlineLevel="0" collapsed="false">
      <c r="A16" s="4" t="s">
        <v>1140</v>
      </c>
      <c r="B16" s="4" t="s">
        <v>1141</v>
      </c>
      <c r="C16" s="4" t="s">
        <v>748</v>
      </c>
      <c r="D16" s="4" t="s">
        <v>168</v>
      </c>
      <c r="E16" s="4" t="s">
        <v>170</v>
      </c>
      <c r="F16" s="4" t="s">
        <v>182</v>
      </c>
      <c r="G16" s="10" t="n">
        <v>2757.88</v>
      </c>
      <c r="H16" s="10" t="n">
        <v>0</v>
      </c>
      <c r="I16" s="10" t="n">
        <f aca="false">ROUND(G16-H16, 2)</f>
        <v>2757.88</v>
      </c>
    </row>
    <row r="17" customFormat="false" ht="18.75" hidden="false" customHeight="true" outlineLevel="0" collapsed="false">
      <c r="A17" s="7" t="s">
        <v>1142</v>
      </c>
      <c r="B17" s="7" t="s">
        <v>1143</v>
      </c>
      <c r="C17" s="7" t="s">
        <v>751</v>
      </c>
      <c r="D17" s="7" t="s">
        <v>173</v>
      </c>
      <c r="E17" s="7" t="s">
        <v>175</v>
      </c>
      <c r="F17" s="7" t="s">
        <v>187</v>
      </c>
      <c r="G17" s="12" t="n">
        <v>2965.22</v>
      </c>
      <c r="H17" s="12" t="n">
        <v>0</v>
      </c>
      <c r="I17" s="12" t="n">
        <f aca="false">ROUND(G17-H17, 2)</f>
        <v>2965.22</v>
      </c>
    </row>
    <row r="18" customFormat="false" ht="18.75" hidden="false" customHeight="true" outlineLevel="0" collapsed="false">
      <c r="A18" s="4" t="s">
        <v>1144</v>
      </c>
      <c r="B18" s="4" t="s">
        <v>1145</v>
      </c>
      <c r="C18" s="4" t="s">
        <v>754</v>
      </c>
      <c r="D18" s="4" t="s">
        <v>178</v>
      </c>
      <c r="E18" s="4" t="s">
        <v>180</v>
      </c>
      <c r="F18" s="4" t="s">
        <v>202</v>
      </c>
      <c r="G18" s="10" t="n">
        <v>3111.77</v>
      </c>
      <c r="H18" s="10" t="n">
        <v>0</v>
      </c>
      <c r="I18" s="10" t="n">
        <f aca="false">ROUND(G18-H18, 2)</f>
        <v>3111.77</v>
      </c>
    </row>
    <row r="19" customFormat="false" ht="18.75" hidden="false" customHeight="true" outlineLevel="0" collapsed="false">
      <c r="A19" s="7" t="s">
        <v>1146</v>
      </c>
      <c r="B19" s="7" t="s">
        <v>1147</v>
      </c>
      <c r="C19" s="7" t="s">
        <v>757</v>
      </c>
      <c r="D19" s="7" t="s">
        <v>183</v>
      </c>
      <c r="E19" s="7" t="s">
        <v>185</v>
      </c>
      <c r="F19" s="7" t="s">
        <v>207</v>
      </c>
      <c r="G19" s="12" t="n">
        <v>3269.37</v>
      </c>
      <c r="H19" s="12" t="n">
        <v>0</v>
      </c>
      <c r="I19" s="12" t="n">
        <f aca="false">ROUND(G19-H19, 2)</f>
        <v>3269.37</v>
      </c>
    </row>
    <row r="20" customFormat="false" ht="18.75" hidden="false" customHeight="true" outlineLevel="0" collapsed="false">
      <c r="A20" s="4" t="s">
        <v>1148</v>
      </c>
      <c r="B20" s="4" t="s">
        <v>1149</v>
      </c>
      <c r="C20" s="4" t="s">
        <v>760</v>
      </c>
      <c r="D20" s="4" t="s">
        <v>188</v>
      </c>
      <c r="E20" s="4" t="s">
        <v>190</v>
      </c>
      <c r="F20" s="4" t="s">
        <v>207</v>
      </c>
      <c r="G20" s="10" t="n">
        <v>3464.18</v>
      </c>
      <c r="H20" s="10" t="n">
        <v>0</v>
      </c>
      <c r="I20" s="10" t="n">
        <f aca="false">ROUND(G20-H20, 2)</f>
        <v>3464.18</v>
      </c>
    </row>
    <row r="21" customFormat="false" ht="18.75" hidden="false" customHeight="true" outlineLevel="0" collapsed="false">
      <c r="A21" s="7" t="s">
        <v>1150</v>
      </c>
      <c r="B21" s="7" t="s">
        <v>1151</v>
      </c>
      <c r="C21" s="7" t="s">
        <v>763</v>
      </c>
      <c r="D21" s="7" t="s">
        <v>193</v>
      </c>
      <c r="E21" s="7" t="s">
        <v>195</v>
      </c>
      <c r="F21" s="7" t="s">
        <v>202</v>
      </c>
      <c r="G21" s="12" t="n">
        <v>3636.78</v>
      </c>
      <c r="H21" s="12" t="n">
        <v>0</v>
      </c>
      <c r="I21" s="12" t="n">
        <f aca="false">ROUND(G21-H21, 2)</f>
        <v>3636.78</v>
      </c>
    </row>
    <row r="22" customFormat="false" ht="18.75" hidden="false" customHeight="true" outlineLevel="0" collapsed="false">
      <c r="A22" s="4" t="s">
        <v>1152</v>
      </c>
      <c r="B22" s="4" t="s">
        <v>1153</v>
      </c>
      <c r="C22" s="4" t="s">
        <v>766</v>
      </c>
      <c r="D22" s="4" t="s">
        <v>198</v>
      </c>
      <c r="E22" s="4" t="s">
        <v>200</v>
      </c>
      <c r="F22" s="4" t="s">
        <v>212</v>
      </c>
      <c r="G22" s="10" t="n">
        <v>3795.96</v>
      </c>
      <c r="H22" s="10" t="n">
        <v>0</v>
      </c>
      <c r="I22" s="10" t="n">
        <f aca="false">ROUND(G22-H22, 2)</f>
        <v>3795.96</v>
      </c>
    </row>
    <row r="23" customFormat="false" ht="18.75" hidden="false" customHeight="true" outlineLevel="0" collapsed="false">
      <c r="A23" s="7" t="s">
        <v>1154</v>
      </c>
      <c r="B23" s="7" t="s">
        <v>1155</v>
      </c>
      <c r="C23" s="7" t="s">
        <v>769</v>
      </c>
      <c r="D23" s="7" t="s">
        <v>203</v>
      </c>
      <c r="E23" s="7" t="s">
        <v>205</v>
      </c>
      <c r="F23" s="7" t="s">
        <v>217</v>
      </c>
      <c r="G23" s="12" t="n">
        <v>3950.52</v>
      </c>
      <c r="H23" s="12" t="n">
        <v>0</v>
      </c>
      <c r="I23" s="12" t="n">
        <f aca="false">ROUND(G23-H23, 2)</f>
        <v>3950.52</v>
      </c>
    </row>
    <row r="24" customFormat="false" ht="18.75" hidden="false" customHeight="true" outlineLevel="0" collapsed="false">
      <c r="A24" s="4" t="s">
        <v>1156</v>
      </c>
      <c r="B24" s="4" t="s">
        <v>1157</v>
      </c>
      <c r="C24" s="4" t="s">
        <v>772</v>
      </c>
      <c r="D24" s="4" t="s">
        <v>208</v>
      </c>
      <c r="E24" s="4" t="s">
        <v>210</v>
      </c>
      <c r="F24" s="4" t="s">
        <v>217</v>
      </c>
      <c r="G24" s="10" t="n">
        <v>4148.05</v>
      </c>
      <c r="H24" s="10" t="n">
        <v>0</v>
      </c>
      <c r="I24" s="10" t="n">
        <f aca="false">ROUND(G24-H24, 2)</f>
        <v>4148.05</v>
      </c>
    </row>
    <row r="25" customFormat="false" ht="18.75" hidden="false" customHeight="true" outlineLevel="0" collapsed="false">
      <c r="A25" s="7" t="s">
        <v>1158</v>
      </c>
      <c r="B25" s="7" t="s">
        <v>1159</v>
      </c>
      <c r="C25" s="7" t="s">
        <v>775</v>
      </c>
      <c r="D25" s="7" t="s">
        <v>213</v>
      </c>
      <c r="E25" s="7" t="s">
        <v>215</v>
      </c>
      <c r="F25" s="7" t="s">
        <v>234</v>
      </c>
      <c r="G25" s="12" t="n">
        <v>4282.52</v>
      </c>
      <c r="H25" s="12" t="n">
        <v>0</v>
      </c>
      <c r="I25" s="12" t="n">
        <f aca="false">ROUND(G25-H25, 2)</f>
        <v>4282.52</v>
      </c>
    </row>
    <row r="26" customFormat="false" ht="18.75" hidden="false" customHeight="true" outlineLevel="0" collapsed="false">
      <c r="A26" s="4" t="s">
        <v>1160</v>
      </c>
      <c r="B26" s="4" t="s">
        <v>1161</v>
      </c>
      <c r="C26" s="4" t="s">
        <v>778</v>
      </c>
      <c r="D26" s="4" t="s">
        <v>218</v>
      </c>
      <c r="E26" s="4" t="s">
        <v>220</v>
      </c>
      <c r="F26" s="4" t="s">
        <v>234</v>
      </c>
      <c r="G26" s="10" t="n">
        <v>4492.5</v>
      </c>
      <c r="H26" s="10" t="n">
        <v>0</v>
      </c>
      <c r="I26" s="10" t="n">
        <f aca="false">ROUND(G26-H26, 2)</f>
        <v>4492.5</v>
      </c>
    </row>
    <row r="27" customFormat="false" ht="18.75" hidden="false" customHeight="true" outlineLevel="0" collapsed="false">
      <c r="A27" s="7" t="s">
        <v>1162</v>
      </c>
      <c r="B27" s="7" t="s">
        <v>1163</v>
      </c>
      <c r="C27" s="7" t="s">
        <v>781</v>
      </c>
      <c r="D27" s="7" t="s">
        <v>223</v>
      </c>
      <c r="E27" s="7" t="s">
        <v>99</v>
      </c>
      <c r="F27" s="7" t="s">
        <v>234</v>
      </c>
      <c r="G27" s="12" t="n">
        <v>4645.33</v>
      </c>
      <c r="H27" s="12" t="n">
        <v>0</v>
      </c>
      <c r="I27" s="12" t="n">
        <f aca="false">ROUND(G27-H27, 2)</f>
        <v>4645.33</v>
      </c>
    </row>
    <row r="28" customFormat="false" ht="18.75" hidden="false" customHeight="true" outlineLevel="0" collapsed="false">
      <c r="A28" s="4" t="s">
        <v>1164</v>
      </c>
      <c r="B28" s="4" t="s">
        <v>1165</v>
      </c>
      <c r="C28" s="4" t="s">
        <v>783</v>
      </c>
      <c r="D28" s="4" t="s">
        <v>227</v>
      </c>
      <c r="E28" s="4" t="s">
        <v>105</v>
      </c>
      <c r="F28" s="4" t="s">
        <v>234</v>
      </c>
      <c r="G28" s="10" t="n">
        <v>4838.75</v>
      </c>
      <c r="H28" s="10" t="n">
        <v>0</v>
      </c>
      <c r="I28" s="10" t="n">
        <f aca="false">ROUND(G28-H28, 2)</f>
        <v>4838.75</v>
      </c>
    </row>
    <row r="29" customFormat="false" ht="18.75" hidden="false" customHeight="true" outlineLevel="0" collapsed="false">
      <c r="A29" s="7" t="s">
        <v>1166</v>
      </c>
      <c r="B29" s="7" t="s">
        <v>1167</v>
      </c>
      <c r="C29" s="7" t="s">
        <v>786</v>
      </c>
      <c r="D29" s="7" t="s">
        <v>231</v>
      </c>
      <c r="E29" s="7" t="s">
        <v>110</v>
      </c>
      <c r="F29" s="7" t="s">
        <v>242</v>
      </c>
      <c r="G29" s="12" t="n">
        <v>4958.34</v>
      </c>
      <c r="H29" s="12" t="n">
        <v>0</v>
      </c>
      <c r="I29" s="12" t="n">
        <f aca="false">ROUND(G29-H29, 2)</f>
        <v>4958.34</v>
      </c>
    </row>
    <row r="30" customFormat="false" ht="18.75" hidden="false" customHeight="true" outlineLevel="0" collapsed="false">
      <c r="A30" s="4" t="s">
        <v>1168</v>
      </c>
      <c r="B30" s="4" t="s">
        <v>1169</v>
      </c>
      <c r="C30" s="4" t="s">
        <v>789</v>
      </c>
      <c r="D30" s="4" t="s">
        <v>235</v>
      </c>
      <c r="E30" s="4" t="s">
        <v>115</v>
      </c>
      <c r="F30" s="4" t="s">
        <v>246</v>
      </c>
      <c r="G30" s="10" t="n">
        <v>5156.28</v>
      </c>
      <c r="H30" s="10" t="n">
        <v>0</v>
      </c>
      <c r="I30" s="10" t="n">
        <f aca="false">ROUND(G30-H30, 2)</f>
        <v>5156.28</v>
      </c>
    </row>
    <row r="31" customFormat="false" ht="18.75" hidden="false" customHeight="true" outlineLevel="0" collapsed="false">
      <c r="A31" s="7" t="s">
        <v>1170</v>
      </c>
      <c r="B31" s="7" t="s">
        <v>1171</v>
      </c>
      <c r="C31" s="7" t="s">
        <v>792</v>
      </c>
      <c r="D31" s="7" t="s">
        <v>239</v>
      </c>
      <c r="E31" s="7" t="s">
        <v>120</v>
      </c>
      <c r="F31" s="7" t="s">
        <v>250</v>
      </c>
      <c r="G31" s="12" t="n">
        <v>5309.35</v>
      </c>
      <c r="H31" s="12" t="n">
        <v>0</v>
      </c>
      <c r="I31" s="12" t="n">
        <f aca="false">ROUND(G31-H31, 2)</f>
        <v>5309.35</v>
      </c>
    </row>
    <row r="32" customFormat="false" ht="18.75" hidden="false" customHeight="true" outlineLevel="0" collapsed="false">
      <c r="A32" s="4" t="s">
        <v>1172</v>
      </c>
      <c r="B32" s="4" t="s">
        <v>1173</v>
      </c>
      <c r="C32" s="4" t="s">
        <v>795</v>
      </c>
      <c r="D32" s="4" t="s">
        <v>243</v>
      </c>
      <c r="E32" s="4" t="s">
        <v>125</v>
      </c>
      <c r="F32" s="4" t="s">
        <v>262</v>
      </c>
      <c r="G32" s="10" t="n">
        <v>5485.76</v>
      </c>
      <c r="H32" s="10" t="n">
        <v>0</v>
      </c>
      <c r="I32" s="10" t="n">
        <f aca="false">ROUND(G32-H32, 2)</f>
        <v>5485.76</v>
      </c>
    </row>
    <row r="33" customFormat="false" ht="18.75" hidden="false" customHeight="true" outlineLevel="0" collapsed="false">
      <c r="A33" s="7" t="s">
        <v>1174</v>
      </c>
      <c r="B33" s="7" t="s">
        <v>1175</v>
      </c>
      <c r="C33" s="7" t="s">
        <v>798</v>
      </c>
      <c r="D33" s="7" t="s">
        <v>247</v>
      </c>
      <c r="E33" s="7" t="s">
        <v>130</v>
      </c>
      <c r="F33" s="7" t="s">
        <v>262</v>
      </c>
      <c r="G33" s="12" t="n">
        <v>5682.1</v>
      </c>
      <c r="H33" s="12" t="n">
        <v>0</v>
      </c>
      <c r="I33" s="12" t="n">
        <f aca="false">ROUND(G33-H33, 2)</f>
        <v>5682.1</v>
      </c>
    </row>
    <row r="34" customFormat="false" ht="18.75" hidden="false" customHeight="true" outlineLevel="0" collapsed="false">
      <c r="A34" s="4" t="s">
        <v>1176</v>
      </c>
      <c r="B34" s="4" t="s">
        <v>1177</v>
      </c>
      <c r="C34" s="4" t="s">
        <v>801</v>
      </c>
      <c r="D34" s="4" t="s">
        <v>251</v>
      </c>
      <c r="E34" s="4" t="s">
        <v>135</v>
      </c>
      <c r="F34" s="4" t="s">
        <v>266</v>
      </c>
      <c r="G34" s="10" t="n">
        <v>5786.66</v>
      </c>
      <c r="H34" s="10" t="n">
        <v>0</v>
      </c>
      <c r="I34" s="10" t="n">
        <f aca="false">ROUND(G34-H34, 2)</f>
        <v>5786.66</v>
      </c>
    </row>
    <row r="35" customFormat="false" ht="18.75" hidden="false" customHeight="true" outlineLevel="0" collapsed="false">
      <c r="A35" s="7" t="s">
        <v>1178</v>
      </c>
      <c r="B35" s="7" t="s">
        <v>1179</v>
      </c>
      <c r="C35" s="7" t="s">
        <v>804</v>
      </c>
      <c r="D35" s="7" t="s">
        <v>255</v>
      </c>
      <c r="E35" s="7" t="s">
        <v>140</v>
      </c>
      <c r="F35" s="7" t="s">
        <v>262</v>
      </c>
      <c r="G35" s="12" t="n">
        <v>6033.99</v>
      </c>
      <c r="H35" s="12" t="n">
        <v>0</v>
      </c>
      <c r="I35" s="12" t="n">
        <f aca="false">ROUND(G35-H35, 2)</f>
        <v>6033.99</v>
      </c>
    </row>
    <row r="36" customFormat="false" ht="18.75" hidden="false" customHeight="true" outlineLevel="0" collapsed="false">
      <c r="A36" s="4" t="s">
        <v>1180</v>
      </c>
      <c r="B36" s="4" t="s">
        <v>1181</v>
      </c>
      <c r="C36" s="4" t="s">
        <v>807</v>
      </c>
      <c r="D36" s="4" t="s">
        <v>259</v>
      </c>
      <c r="E36" s="4" t="s">
        <v>145</v>
      </c>
      <c r="F36" s="4" t="s">
        <v>270</v>
      </c>
      <c r="G36" s="10" t="n">
        <v>6146.55</v>
      </c>
      <c r="H36" s="10" t="n">
        <v>0</v>
      </c>
      <c r="I36" s="10" t="n">
        <f aca="false">ROUND(G36-H36, 2)</f>
        <v>6146.55</v>
      </c>
    </row>
    <row r="37" customFormat="false" ht="18.75" hidden="false" customHeight="true" outlineLevel="0" collapsed="false">
      <c r="A37" s="7" t="s">
        <v>1182</v>
      </c>
      <c r="B37" s="7" t="s">
        <v>1183</v>
      </c>
      <c r="C37" s="7" t="s">
        <v>810</v>
      </c>
      <c r="D37" s="7" t="s">
        <v>263</v>
      </c>
      <c r="E37" s="7" t="s">
        <v>150</v>
      </c>
      <c r="F37" s="7" t="s">
        <v>274</v>
      </c>
      <c r="G37" s="12" t="n">
        <v>6334.66</v>
      </c>
      <c r="H37" s="12" t="n">
        <v>0</v>
      </c>
      <c r="I37" s="12" t="n">
        <f aca="false">ROUND(G37-H37, 2)</f>
        <v>6334.66</v>
      </c>
    </row>
    <row r="38" customFormat="false" ht="18.75" hidden="false" customHeight="true" outlineLevel="0" collapsed="false">
      <c r="A38" s="4" t="s">
        <v>1184</v>
      </c>
      <c r="B38" s="4" t="s">
        <v>1185</v>
      </c>
      <c r="C38" s="4" t="s">
        <v>813</v>
      </c>
      <c r="D38" s="4" t="s">
        <v>267</v>
      </c>
      <c r="E38" s="4" t="s">
        <v>155</v>
      </c>
      <c r="F38" s="4" t="s">
        <v>274</v>
      </c>
      <c r="G38" s="10" t="n">
        <v>6524.37</v>
      </c>
      <c r="H38" s="10" t="n">
        <v>0</v>
      </c>
      <c r="I38" s="10" t="n">
        <f aca="false">ROUND(G38-H38, 2)</f>
        <v>6524.37</v>
      </c>
    </row>
    <row r="39" customFormat="false" ht="18.75" hidden="false" customHeight="true" outlineLevel="0" collapsed="false">
      <c r="A39" s="7" t="s">
        <v>1186</v>
      </c>
      <c r="B39" s="7" t="s">
        <v>1187</v>
      </c>
      <c r="C39" s="7" t="s">
        <v>816</v>
      </c>
      <c r="D39" s="7" t="s">
        <v>271</v>
      </c>
      <c r="E39" s="7" t="s">
        <v>160</v>
      </c>
      <c r="F39" s="7" t="s">
        <v>290</v>
      </c>
      <c r="G39" s="12" t="n">
        <v>6664.05</v>
      </c>
      <c r="H39" s="12" t="n">
        <v>0</v>
      </c>
      <c r="I39" s="12" t="n">
        <f aca="false">ROUND(G39-H39, 2)</f>
        <v>6664.05</v>
      </c>
    </row>
    <row r="40" customFormat="false" ht="18.75" hidden="false" customHeight="true" outlineLevel="0" collapsed="false">
      <c r="A40" s="4" t="s">
        <v>1188</v>
      </c>
      <c r="B40" s="4" t="s">
        <v>1189</v>
      </c>
      <c r="C40" s="4" t="s">
        <v>819</v>
      </c>
      <c r="D40" s="4" t="s">
        <v>275</v>
      </c>
      <c r="E40" s="4" t="s">
        <v>165</v>
      </c>
      <c r="F40" s="4" t="s">
        <v>290</v>
      </c>
      <c r="G40" s="10" t="n">
        <v>6868.15</v>
      </c>
      <c r="H40" s="10" t="n">
        <v>0</v>
      </c>
      <c r="I40" s="10" t="n">
        <f aca="false">ROUND(G40-H40, 2)</f>
        <v>6868.15</v>
      </c>
    </row>
    <row r="41" customFormat="false" ht="18.75" hidden="false" customHeight="true" outlineLevel="0" collapsed="false">
      <c r="A41" s="7" t="s">
        <v>1190</v>
      </c>
      <c r="B41" s="7" t="s">
        <v>1191</v>
      </c>
      <c r="C41" s="7" t="s">
        <v>822</v>
      </c>
      <c r="D41" s="7" t="s">
        <v>279</v>
      </c>
      <c r="E41" s="7" t="s">
        <v>170</v>
      </c>
      <c r="F41" s="7" t="s">
        <v>294</v>
      </c>
      <c r="G41" s="12" t="n">
        <v>6955.52</v>
      </c>
      <c r="H41" s="12" t="n">
        <v>0</v>
      </c>
      <c r="I41" s="12" t="n">
        <f aca="false">ROUND(G41-H41, 2)</f>
        <v>6955.52</v>
      </c>
    </row>
    <row r="42" customFormat="false" ht="18.75" hidden="false" customHeight="true" outlineLevel="0" collapsed="false">
      <c r="A42" s="4" t="s">
        <v>1192</v>
      </c>
      <c r="B42" s="4" t="s">
        <v>1193</v>
      </c>
      <c r="C42" s="4" t="s">
        <v>825</v>
      </c>
      <c r="D42" s="4" t="s">
        <v>283</v>
      </c>
      <c r="E42" s="4" t="s">
        <v>175</v>
      </c>
      <c r="F42" s="4" t="s">
        <v>294</v>
      </c>
      <c r="G42" s="10" t="n">
        <v>7216.46</v>
      </c>
      <c r="H42" s="10" t="n">
        <v>0</v>
      </c>
      <c r="I42" s="10" t="n">
        <f aca="false">ROUND(G42-H42, 2)</f>
        <v>7216.46</v>
      </c>
    </row>
    <row r="43" customFormat="false" ht="18.75" hidden="false" customHeight="true" outlineLevel="0" collapsed="false">
      <c r="A43" s="7" t="s">
        <v>1194</v>
      </c>
      <c r="B43" s="7" t="s">
        <v>1195</v>
      </c>
      <c r="C43" s="7" t="s">
        <v>828</v>
      </c>
      <c r="D43" s="7" t="s">
        <v>287</v>
      </c>
      <c r="E43" s="7" t="s">
        <v>180</v>
      </c>
      <c r="F43" s="7" t="s">
        <v>298</v>
      </c>
      <c r="G43" s="12" t="n">
        <v>7331.42</v>
      </c>
      <c r="H43" s="12" t="n">
        <v>0</v>
      </c>
      <c r="I43" s="12" t="n">
        <f aca="false">ROUND(G43-H43, 2)</f>
        <v>7331.42</v>
      </c>
    </row>
    <row r="44" customFormat="false" ht="18.75" hidden="false" customHeight="true" outlineLevel="0" collapsed="false">
      <c r="A44" s="4" t="s">
        <v>1196</v>
      </c>
      <c r="B44" s="4" t="s">
        <v>1197</v>
      </c>
      <c r="C44" s="4" t="s">
        <v>831</v>
      </c>
      <c r="D44" s="4" t="s">
        <v>291</v>
      </c>
      <c r="E44" s="4" t="s">
        <v>185</v>
      </c>
      <c r="F44" s="4" t="s">
        <v>302</v>
      </c>
      <c r="G44" s="10" t="n">
        <v>7477.24</v>
      </c>
      <c r="H44" s="10" t="n">
        <v>0</v>
      </c>
      <c r="I44" s="10" t="n">
        <f aca="false">ROUND(G44-H44, 2)</f>
        <v>7477.24</v>
      </c>
    </row>
    <row r="45" customFormat="false" ht="18.75" hidden="false" customHeight="true" outlineLevel="0" collapsed="false">
      <c r="A45" s="7" t="s">
        <v>1198</v>
      </c>
      <c r="B45" s="7" t="s">
        <v>1199</v>
      </c>
      <c r="C45" s="7" t="s">
        <v>834</v>
      </c>
      <c r="D45" s="7" t="s">
        <v>295</v>
      </c>
      <c r="E45" s="7" t="s">
        <v>190</v>
      </c>
      <c r="F45" s="7" t="s">
        <v>306</v>
      </c>
      <c r="G45" s="12" t="n">
        <v>7702.67</v>
      </c>
      <c r="H45" s="12" t="n">
        <v>0</v>
      </c>
      <c r="I45" s="12" t="n">
        <f aca="false">ROUND(G45-H45, 2)</f>
        <v>7702.67</v>
      </c>
    </row>
    <row r="46" customFormat="false" ht="18.75" hidden="false" customHeight="true" outlineLevel="0" collapsed="false">
      <c r="A46" s="4" t="s">
        <v>1200</v>
      </c>
      <c r="B46" s="4" t="s">
        <v>1201</v>
      </c>
      <c r="C46" s="4" t="s">
        <v>837</v>
      </c>
      <c r="D46" s="4" t="s">
        <v>299</v>
      </c>
      <c r="E46" s="4" t="s">
        <v>195</v>
      </c>
      <c r="F46" s="4" t="s">
        <v>306</v>
      </c>
      <c r="G46" s="10" t="n">
        <v>7876.84</v>
      </c>
      <c r="H46" s="10" t="n">
        <v>0</v>
      </c>
      <c r="I46" s="10" t="n">
        <f aca="false">ROUND(G46-H46, 2)</f>
        <v>7876.84</v>
      </c>
    </row>
    <row r="47" customFormat="false" ht="18.75" hidden="false" customHeight="true" outlineLevel="0" collapsed="false">
      <c r="A47" s="7" t="s">
        <v>1202</v>
      </c>
      <c r="B47" s="7" t="s">
        <v>1203</v>
      </c>
      <c r="C47" s="7" t="s">
        <v>840</v>
      </c>
      <c r="D47" s="7" t="s">
        <v>303</v>
      </c>
      <c r="E47" s="7" t="s">
        <v>200</v>
      </c>
      <c r="F47" s="7" t="s">
        <v>322</v>
      </c>
      <c r="G47" s="12" t="n">
        <v>8026.8</v>
      </c>
      <c r="H47" s="12" t="n">
        <v>0</v>
      </c>
      <c r="I47" s="12" t="n">
        <f aca="false">ROUND(G47-H47, 2)</f>
        <v>8026.8</v>
      </c>
    </row>
    <row r="48" customFormat="false" ht="18.75" hidden="false" customHeight="true" outlineLevel="0" collapsed="false">
      <c r="A48" s="4" t="s">
        <v>1204</v>
      </c>
      <c r="B48" s="4" t="s">
        <v>1205</v>
      </c>
      <c r="C48" s="4" t="s">
        <v>843</v>
      </c>
      <c r="D48" s="4" t="s">
        <v>307</v>
      </c>
      <c r="E48" s="4" t="s">
        <v>205</v>
      </c>
      <c r="F48" s="4" t="s">
        <v>322</v>
      </c>
      <c r="G48" s="10" t="n">
        <v>8166.03</v>
      </c>
      <c r="H48" s="10" t="n">
        <v>0</v>
      </c>
      <c r="I48" s="10" t="n">
        <f aca="false">ROUND(G48-H48, 2)</f>
        <v>8166.03</v>
      </c>
    </row>
    <row r="49" customFormat="false" ht="18.75" hidden="false" customHeight="true" outlineLevel="0" collapsed="false">
      <c r="A49" s="7" t="s">
        <v>1206</v>
      </c>
      <c r="B49" s="7" t="s">
        <v>1207</v>
      </c>
      <c r="C49" s="7" t="s">
        <v>846</v>
      </c>
      <c r="D49" s="7" t="s">
        <v>311</v>
      </c>
      <c r="E49" s="7" t="s">
        <v>210</v>
      </c>
      <c r="F49" s="7" t="s">
        <v>318</v>
      </c>
      <c r="G49" s="12" t="n">
        <v>8391.63</v>
      </c>
      <c r="H49" s="12" t="n">
        <v>0</v>
      </c>
      <c r="I49" s="12" t="n">
        <f aca="false">ROUND(G49-H49, 2)</f>
        <v>8391.63</v>
      </c>
    </row>
    <row r="50" customFormat="false" ht="18.75" hidden="false" customHeight="true" outlineLevel="0" collapsed="false">
      <c r="A50" s="4" t="s">
        <v>1208</v>
      </c>
      <c r="B50" s="4" t="s">
        <v>1209</v>
      </c>
      <c r="C50" s="4" t="s">
        <v>849</v>
      </c>
      <c r="D50" s="4" t="s">
        <v>315</v>
      </c>
      <c r="E50" s="4" t="s">
        <v>215</v>
      </c>
      <c r="F50" s="4" t="s">
        <v>851</v>
      </c>
      <c r="G50" s="10" t="n">
        <v>8491.97</v>
      </c>
      <c r="H50" s="10" t="n">
        <v>0</v>
      </c>
      <c r="I50" s="10" t="n">
        <f aca="false">ROUND(G50-H50, 2)</f>
        <v>8491.97</v>
      </c>
    </row>
    <row r="51" customFormat="false" ht="18.75" hidden="false" customHeight="true" outlineLevel="0" collapsed="false">
      <c r="A51" s="7" t="s">
        <v>1210</v>
      </c>
      <c r="B51" s="7" t="s">
        <v>1211</v>
      </c>
      <c r="C51" s="7" t="s">
        <v>853</v>
      </c>
      <c r="D51" s="7" t="s">
        <v>319</v>
      </c>
      <c r="E51" s="7" t="s">
        <v>220</v>
      </c>
      <c r="F51" s="7" t="s">
        <v>851</v>
      </c>
      <c r="G51" s="12" t="n">
        <v>8741.19</v>
      </c>
      <c r="H51" s="12" t="n">
        <v>0</v>
      </c>
      <c r="I51" s="12" t="n">
        <f aca="false">ROUND(G51-H51, 2)</f>
        <v>8741.19</v>
      </c>
    </row>
    <row r="52" customFormat="false" ht="18.75" hidden="false" customHeight="true" outlineLevel="0" collapsed="false">
      <c r="A52" s="4" t="s">
        <v>1212</v>
      </c>
      <c r="B52" s="4" t="s">
        <v>1213</v>
      </c>
      <c r="C52" s="4" t="s">
        <v>856</v>
      </c>
      <c r="D52" s="4" t="s">
        <v>323</v>
      </c>
      <c r="E52" s="4" t="s">
        <v>99</v>
      </c>
      <c r="F52" s="4" t="s">
        <v>107</v>
      </c>
      <c r="G52" s="10" t="n">
        <v>8878.7</v>
      </c>
      <c r="H52" s="10" t="n">
        <v>0</v>
      </c>
      <c r="I52" s="10" t="n">
        <f aca="false">ROUND(G52-H52, 2)</f>
        <v>8878.7</v>
      </c>
    </row>
    <row r="53" customFormat="false" ht="18.75" hidden="false" customHeight="true" outlineLevel="0" collapsed="false">
      <c r="A53" s="7" t="s">
        <v>1214</v>
      </c>
      <c r="B53" s="7" t="s">
        <v>1215</v>
      </c>
      <c r="C53" s="7" t="s">
        <v>858</v>
      </c>
      <c r="D53" s="7" t="s">
        <v>326</v>
      </c>
      <c r="E53" s="7" t="s">
        <v>105</v>
      </c>
      <c r="F53" s="7" t="s">
        <v>112</v>
      </c>
      <c r="G53" s="12" t="n">
        <v>9091.56</v>
      </c>
      <c r="H53" s="12" t="n">
        <v>0</v>
      </c>
      <c r="I53" s="12" t="n">
        <f aca="false">ROUND(G53-H53, 2)</f>
        <v>9091.56</v>
      </c>
    </row>
    <row r="54" customFormat="false" ht="18.75" hidden="false" customHeight="true" outlineLevel="0" collapsed="false">
      <c r="A54" s="4" t="s">
        <v>1216</v>
      </c>
      <c r="B54" s="4" t="s">
        <v>1217</v>
      </c>
      <c r="C54" s="4" t="s">
        <v>860</v>
      </c>
      <c r="D54" s="4" t="s">
        <v>329</v>
      </c>
      <c r="E54" s="4" t="s">
        <v>110</v>
      </c>
      <c r="F54" s="4" t="s">
        <v>132</v>
      </c>
      <c r="G54" s="10" t="n">
        <v>9171.3</v>
      </c>
      <c r="H54" s="10" t="n">
        <v>0</v>
      </c>
      <c r="I54" s="10" t="n">
        <f aca="false">ROUND(G54-H54, 2)</f>
        <v>9171.3</v>
      </c>
    </row>
    <row r="55" customFormat="false" ht="18.75" hidden="false" customHeight="true" outlineLevel="0" collapsed="false">
      <c r="A55" s="7" t="s">
        <v>1218</v>
      </c>
      <c r="B55" s="7" t="s">
        <v>1219</v>
      </c>
      <c r="C55" s="7" t="s">
        <v>862</v>
      </c>
      <c r="D55" s="7" t="s">
        <v>332</v>
      </c>
      <c r="E55" s="7" t="s">
        <v>115</v>
      </c>
      <c r="F55" s="7" t="s">
        <v>137</v>
      </c>
      <c r="G55" s="12" t="n">
        <v>9392.21</v>
      </c>
      <c r="H55" s="12" t="n">
        <v>0</v>
      </c>
      <c r="I55" s="12" t="n">
        <f aca="false">ROUND(G55-H55, 2)</f>
        <v>9392.21</v>
      </c>
    </row>
    <row r="56" customFormat="false" ht="18.75" hidden="false" customHeight="true" outlineLevel="0" collapsed="false">
      <c r="A56" s="4" t="s">
        <v>1220</v>
      </c>
      <c r="B56" s="4" t="s">
        <v>1221</v>
      </c>
      <c r="C56" s="4" t="s">
        <v>864</v>
      </c>
      <c r="D56" s="4" t="s">
        <v>335</v>
      </c>
      <c r="E56" s="4" t="s">
        <v>120</v>
      </c>
      <c r="F56" s="4" t="s">
        <v>137</v>
      </c>
      <c r="G56" s="10" t="n">
        <v>9532.52</v>
      </c>
      <c r="H56" s="10" t="n">
        <v>0</v>
      </c>
      <c r="I56" s="10" t="n">
        <f aca="false">ROUND(G56-H56, 2)</f>
        <v>9532.52</v>
      </c>
    </row>
    <row r="57" customFormat="false" ht="18.75" hidden="false" customHeight="true" outlineLevel="0" collapsed="false">
      <c r="A57" s="7" t="s">
        <v>1222</v>
      </c>
      <c r="B57" s="7" t="s">
        <v>1223</v>
      </c>
      <c r="C57" s="7" t="s">
        <v>866</v>
      </c>
      <c r="D57" s="7" t="s">
        <v>338</v>
      </c>
      <c r="E57" s="7" t="s">
        <v>125</v>
      </c>
      <c r="F57" s="7" t="s">
        <v>137</v>
      </c>
      <c r="G57" s="12" t="n">
        <v>9713.06</v>
      </c>
      <c r="H57" s="12" t="n">
        <v>0</v>
      </c>
      <c r="I57" s="12" t="n">
        <f aca="false">ROUND(G57-H57, 2)</f>
        <v>9713.06</v>
      </c>
    </row>
    <row r="58" customFormat="false" ht="18.75" hidden="false" customHeight="true" outlineLevel="0" collapsed="false">
      <c r="A58" s="4" t="s">
        <v>1224</v>
      </c>
      <c r="B58" s="4" t="s">
        <v>1225</v>
      </c>
      <c r="C58" s="4" t="s">
        <v>868</v>
      </c>
      <c r="D58" s="4" t="s">
        <v>341</v>
      </c>
      <c r="E58" s="4" t="s">
        <v>130</v>
      </c>
      <c r="F58" s="4" t="s">
        <v>137</v>
      </c>
      <c r="G58" s="10" t="n">
        <v>9930.79</v>
      </c>
      <c r="H58" s="10" t="n">
        <v>0</v>
      </c>
      <c r="I58" s="10" t="n">
        <f aca="false">ROUND(G58-H58, 2)</f>
        <v>9930.79</v>
      </c>
    </row>
    <row r="59" customFormat="false" ht="18.75" hidden="false" customHeight="true" outlineLevel="0" collapsed="false">
      <c r="A59" s="7" t="s">
        <v>1226</v>
      </c>
      <c r="B59" s="7" t="s">
        <v>1227</v>
      </c>
      <c r="C59" s="7" t="s">
        <v>870</v>
      </c>
      <c r="D59" s="7" t="s">
        <v>344</v>
      </c>
      <c r="E59" s="7" t="s">
        <v>135</v>
      </c>
      <c r="F59" s="7" t="s">
        <v>147</v>
      </c>
      <c r="G59" s="12" t="n">
        <v>9989.42</v>
      </c>
      <c r="H59" s="12" t="n">
        <v>0</v>
      </c>
      <c r="I59" s="12" t="n">
        <f aca="false">ROUND(G59-H59, 2)</f>
        <v>9989.42</v>
      </c>
    </row>
    <row r="60" customFormat="false" ht="18.75" hidden="false" customHeight="true" outlineLevel="0" collapsed="false">
      <c r="A60" s="4" t="s">
        <v>1228</v>
      </c>
      <c r="B60" s="4" t="s">
        <v>1229</v>
      </c>
      <c r="C60" s="4" t="s">
        <v>872</v>
      </c>
      <c r="D60" s="4" t="s">
        <v>347</v>
      </c>
      <c r="E60" s="4" t="s">
        <v>140</v>
      </c>
      <c r="F60" s="4" t="s">
        <v>147</v>
      </c>
      <c r="G60" s="10" t="n">
        <v>10289.35</v>
      </c>
      <c r="H60" s="10" t="n">
        <v>0</v>
      </c>
      <c r="I60" s="10" t="n">
        <f aca="false">ROUND(G60-H60, 2)</f>
        <v>10289.35</v>
      </c>
    </row>
    <row r="61" customFormat="false" ht="18.75" hidden="false" customHeight="true" outlineLevel="0" collapsed="false">
      <c r="A61" s="7" t="s">
        <v>1230</v>
      </c>
      <c r="B61" s="7" t="s">
        <v>1231</v>
      </c>
      <c r="C61" s="7" t="s">
        <v>874</v>
      </c>
      <c r="D61" s="7" t="s">
        <v>350</v>
      </c>
      <c r="E61" s="7" t="s">
        <v>145</v>
      </c>
      <c r="F61" s="7" t="s">
        <v>167</v>
      </c>
      <c r="G61" s="12" t="n">
        <v>10364.62</v>
      </c>
      <c r="H61" s="12" t="n">
        <v>0</v>
      </c>
      <c r="I61" s="12" t="n">
        <f aca="false">ROUND(G61-H61, 2)</f>
        <v>10364.62</v>
      </c>
    </row>
    <row r="62" customFormat="false" ht="18.75" hidden="false" customHeight="true" outlineLevel="0" collapsed="false">
      <c r="A62" s="4" t="s">
        <v>1232</v>
      </c>
      <c r="B62" s="4" t="s">
        <v>1233</v>
      </c>
      <c r="C62" s="4" t="s">
        <v>876</v>
      </c>
      <c r="D62" s="4" t="s">
        <v>353</v>
      </c>
      <c r="E62" s="4" t="s">
        <v>150</v>
      </c>
      <c r="F62" s="4" t="s">
        <v>172</v>
      </c>
      <c r="G62" s="10" t="n">
        <v>10565.48</v>
      </c>
      <c r="H62" s="10" t="n">
        <v>0</v>
      </c>
      <c r="I62" s="10" t="n">
        <f aca="false">ROUND(G62-H62, 2)</f>
        <v>10565.48</v>
      </c>
    </row>
    <row r="63" customFormat="false" ht="18.75" hidden="false" customHeight="true" outlineLevel="0" collapsed="false">
      <c r="A63" s="7" t="s">
        <v>1234</v>
      </c>
      <c r="B63" s="7" t="s">
        <v>1235</v>
      </c>
      <c r="C63" s="7" t="s">
        <v>878</v>
      </c>
      <c r="D63" s="7" t="s">
        <v>356</v>
      </c>
      <c r="E63" s="7" t="s">
        <v>155</v>
      </c>
      <c r="F63" s="7" t="s">
        <v>167</v>
      </c>
      <c r="G63" s="12" t="n">
        <v>10767.97</v>
      </c>
      <c r="H63" s="12" t="n">
        <v>0</v>
      </c>
      <c r="I63" s="12" t="n">
        <f aca="false">ROUND(G63-H63, 2)</f>
        <v>10767.97</v>
      </c>
    </row>
    <row r="64" customFormat="false" ht="18.75" hidden="false" customHeight="true" outlineLevel="0" collapsed="false">
      <c r="A64" s="4" t="s">
        <v>1236</v>
      </c>
      <c r="B64" s="4" t="s">
        <v>1237</v>
      </c>
      <c r="C64" s="4" t="s">
        <v>880</v>
      </c>
      <c r="D64" s="4" t="s">
        <v>359</v>
      </c>
      <c r="E64" s="4" t="s">
        <v>160</v>
      </c>
      <c r="F64" s="4" t="s">
        <v>172</v>
      </c>
      <c r="G64" s="10" t="n">
        <v>10889.78</v>
      </c>
      <c r="H64" s="10" t="n">
        <v>0</v>
      </c>
      <c r="I64" s="10" t="n">
        <f aca="false">ROUND(G64-H64, 2)</f>
        <v>10889.78</v>
      </c>
    </row>
    <row r="65" customFormat="false" ht="18.75" hidden="false" customHeight="true" outlineLevel="0" collapsed="false">
      <c r="A65" s="7" t="s">
        <v>1238</v>
      </c>
      <c r="B65" s="7" t="s">
        <v>1239</v>
      </c>
      <c r="C65" s="7" t="s">
        <v>882</v>
      </c>
      <c r="D65" s="7" t="s">
        <v>362</v>
      </c>
      <c r="E65" s="7" t="s">
        <v>165</v>
      </c>
      <c r="F65" s="7" t="s">
        <v>172</v>
      </c>
      <c r="G65" s="12" t="n">
        <v>11114.29</v>
      </c>
      <c r="H65" s="12" t="n">
        <v>0</v>
      </c>
      <c r="I65" s="12" t="n">
        <f aca="false">ROUND(G65-H65, 2)</f>
        <v>11114.29</v>
      </c>
    </row>
    <row r="66" customFormat="false" ht="18.75" hidden="false" customHeight="true" outlineLevel="0" collapsed="false">
      <c r="A66" s="4" t="s">
        <v>1240</v>
      </c>
      <c r="B66" s="4" t="s">
        <v>1241</v>
      </c>
      <c r="C66" s="4" t="s">
        <v>884</v>
      </c>
      <c r="D66" s="4" t="s">
        <v>365</v>
      </c>
      <c r="E66" s="4" t="s">
        <v>170</v>
      </c>
      <c r="F66" s="4" t="s">
        <v>182</v>
      </c>
      <c r="G66" s="10" t="n">
        <v>11153.18</v>
      </c>
      <c r="H66" s="10" t="n">
        <v>0</v>
      </c>
      <c r="I66" s="10" t="n">
        <f aca="false">ROUND(G66-H66, 2)</f>
        <v>11153.18</v>
      </c>
    </row>
    <row r="67" customFormat="false" ht="18.75" hidden="false" customHeight="true" outlineLevel="0" collapsed="false">
      <c r="A67" s="7" t="s">
        <v>1242</v>
      </c>
      <c r="B67" s="7" t="s">
        <v>1243</v>
      </c>
      <c r="C67" s="7" t="s">
        <v>886</v>
      </c>
      <c r="D67" s="7" t="s">
        <v>368</v>
      </c>
      <c r="E67" s="7" t="s">
        <v>175</v>
      </c>
      <c r="F67" s="7" t="s">
        <v>187</v>
      </c>
      <c r="G67" s="12" t="n">
        <v>11466.73</v>
      </c>
      <c r="H67" s="12" t="n">
        <v>0</v>
      </c>
      <c r="I67" s="12" t="n">
        <f aca="false">ROUND(G67-H67, 2)</f>
        <v>11466.73</v>
      </c>
    </row>
    <row r="68" customFormat="false" ht="18.75" hidden="false" customHeight="true" outlineLevel="0" collapsed="false">
      <c r="A68" s="4" t="s">
        <v>1244</v>
      </c>
      <c r="B68" s="4" t="s">
        <v>1245</v>
      </c>
      <c r="C68" s="4" t="s">
        <v>888</v>
      </c>
      <c r="D68" s="4" t="s">
        <v>371</v>
      </c>
      <c r="E68" s="4" t="s">
        <v>180</v>
      </c>
      <c r="F68" s="4" t="s">
        <v>202</v>
      </c>
      <c r="G68" s="10" t="n">
        <v>11552.03</v>
      </c>
      <c r="H68" s="10" t="n">
        <v>0</v>
      </c>
      <c r="I68" s="10" t="n">
        <f aca="false">ROUND(G68-H68, 2)</f>
        <v>11552.03</v>
      </c>
    </row>
    <row r="69" customFormat="false" ht="18.75" hidden="false" customHeight="true" outlineLevel="0" collapsed="false">
      <c r="A69" s="7" t="s">
        <v>1246</v>
      </c>
      <c r="B69" s="7" t="s">
        <v>1247</v>
      </c>
      <c r="C69" s="7" t="s">
        <v>890</v>
      </c>
      <c r="D69" s="7" t="s">
        <v>374</v>
      </c>
      <c r="E69" s="7" t="s">
        <v>185</v>
      </c>
      <c r="F69" s="7" t="s">
        <v>207</v>
      </c>
      <c r="G69" s="12" t="n">
        <v>11685.1</v>
      </c>
      <c r="H69" s="12" t="n">
        <v>0</v>
      </c>
      <c r="I69" s="12" t="n">
        <f aca="false">ROUND(G69-H69, 2)</f>
        <v>11685.1</v>
      </c>
    </row>
    <row r="70" customFormat="false" ht="18.75" hidden="false" customHeight="true" outlineLevel="0" collapsed="false">
      <c r="A70" s="4" t="s">
        <v>1248</v>
      </c>
      <c r="B70" s="4" t="s">
        <v>1249</v>
      </c>
      <c r="C70" s="4" t="s">
        <v>892</v>
      </c>
      <c r="D70" s="4" t="s">
        <v>377</v>
      </c>
      <c r="E70" s="4" t="s">
        <v>190</v>
      </c>
      <c r="F70" s="4" t="s">
        <v>207</v>
      </c>
      <c r="G70" s="10" t="n">
        <v>11940.18</v>
      </c>
      <c r="H70" s="10" t="n">
        <v>0</v>
      </c>
      <c r="I70" s="10" t="n">
        <f aca="false">ROUND(G70-H70, 2)</f>
        <v>11940.18</v>
      </c>
    </row>
    <row r="71" customFormat="false" ht="18.75" hidden="false" customHeight="true" outlineLevel="0" collapsed="false">
      <c r="A71" s="7" t="s">
        <v>1250</v>
      </c>
      <c r="B71" s="7" t="s">
        <v>1251</v>
      </c>
      <c r="C71" s="7" t="s">
        <v>894</v>
      </c>
      <c r="D71" s="7" t="s">
        <v>380</v>
      </c>
      <c r="E71" s="7" t="s">
        <v>195</v>
      </c>
      <c r="F71" s="7" t="s">
        <v>202</v>
      </c>
      <c r="G71" s="12" t="n">
        <v>12117.88</v>
      </c>
      <c r="H71" s="12" t="n">
        <v>0</v>
      </c>
      <c r="I71" s="12" t="n">
        <f aca="false">ROUND(G71-H71, 2)</f>
        <v>12117.88</v>
      </c>
    </row>
    <row r="72" customFormat="false" ht="18.75" hidden="false" customHeight="true" outlineLevel="0" collapsed="false">
      <c r="A72" s="4" t="s">
        <v>1252</v>
      </c>
      <c r="B72" s="4" t="s">
        <v>1253</v>
      </c>
      <c r="C72" s="4" t="s">
        <v>896</v>
      </c>
      <c r="D72" s="4" t="s">
        <v>383</v>
      </c>
      <c r="E72" s="4" t="s">
        <v>200</v>
      </c>
      <c r="F72" s="4" t="s">
        <v>212</v>
      </c>
      <c r="G72" s="10" t="n">
        <v>12257.62</v>
      </c>
      <c r="H72" s="10" t="n">
        <v>0</v>
      </c>
      <c r="I72" s="10" t="n">
        <f aca="false">ROUND(G72-H72, 2)</f>
        <v>12257.62</v>
      </c>
    </row>
    <row r="73" customFormat="false" ht="18.75" hidden="false" customHeight="true" outlineLevel="0" collapsed="false">
      <c r="A73" s="7" t="s">
        <v>1254</v>
      </c>
      <c r="B73" s="7" t="s">
        <v>1255</v>
      </c>
      <c r="C73" s="7" t="s">
        <v>898</v>
      </c>
      <c r="D73" s="7" t="s">
        <v>386</v>
      </c>
      <c r="E73" s="7" t="s">
        <v>205</v>
      </c>
      <c r="F73" s="7" t="s">
        <v>217</v>
      </c>
      <c r="G73" s="12" t="n">
        <v>12381.55</v>
      </c>
      <c r="H73" s="12" t="n">
        <v>0</v>
      </c>
      <c r="I73" s="12" t="n">
        <f aca="false">ROUND(G73-H73, 2)</f>
        <v>12381.55</v>
      </c>
    </row>
    <row r="74" customFormat="false" ht="18.75" hidden="false" customHeight="true" outlineLevel="0" collapsed="false">
      <c r="A74" s="4" t="s">
        <v>1256</v>
      </c>
      <c r="B74" s="4" t="s">
        <v>1257</v>
      </c>
      <c r="C74" s="4" t="s">
        <v>900</v>
      </c>
      <c r="D74" s="4" t="s">
        <v>389</v>
      </c>
      <c r="E74" s="4" t="s">
        <v>210</v>
      </c>
      <c r="F74" s="4" t="s">
        <v>217</v>
      </c>
      <c r="G74" s="10" t="n">
        <v>12634.24</v>
      </c>
      <c r="H74" s="10" t="n">
        <v>0</v>
      </c>
      <c r="I74" s="10" t="n">
        <f aca="false">ROUND(G74-H74, 2)</f>
        <v>12634.24</v>
      </c>
    </row>
    <row r="75" customFormat="false" ht="18.75" hidden="false" customHeight="true" outlineLevel="0" collapsed="false">
      <c r="A75" s="7" t="s">
        <v>1258</v>
      </c>
      <c r="B75" s="7" t="s">
        <v>1259</v>
      </c>
      <c r="C75" s="7" t="s">
        <v>902</v>
      </c>
      <c r="D75" s="7" t="s">
        <v>392</v>
      </c>
      <c r="E75" s="7" t="s">
        <v>215</v>
      </c>
      <c r="F75" s="7" t="s">
        <v>234</v>
      </c>
      <c r="G75" s="12" t="n">
        <v>12702.38</v>
      </c>
      <c r="H75" s="12" t="n">
        <v>0</v>
      </c>
      <c r="I75" s="12" t="n">
        <f aca="false">ROUND(G75-H75, 2)</f>
        <v>12702.38</v>
      </c>
    </row>
    <row r="76" customFormat="false" ht="18.75" hidden="false" customHeight="true" outlineLevel="0" collapsed="false">
      <c r="A76" s="4" t="s">
        <v>1260</v>
      </c>
      <c r="B76" s="4" t="s">
        <v>1261</v>
      </c>
      <c r="C76" s="4" t="s">
        <v>904</v>
      </c>
      <c r="D76" s="4" t="s">
        <v>395</v>
      </c>
      <c r="E76" s="4" t="s">
        <v>220</v>
      </c>
      <c r="F76" s="4" t="s">
        <v>234</v>
      </c>
      <c r="G76" s="10" t="n">
        <v>12989.88</v>
      </c>
      <c r="H76" s="10" t="n">
        <v>0</v>
      </c>
      <c r="I76" s="10" t="n">
        <f aca="false">ROUND(G76-H76, 2)</f>
        <v>12989.88</v>
      </c>
    </row>
    <row r="77" customFormat="false" ht="18.75" hidden="false" customHeight="true" outlineLevel="0" collapsed="false">
      <c r="A77" s="7" t="s">
        <v>1262</v>
      </c>
      <c r="B77" s="7" t="s">
        <v>1263</v>
      </c>
      <c r="C77" s="7" t="s">
        <v>906</v>
      </c>
      <c r="D77" s="7" t="s">
        <v>398</v>
      </c>
      <c r="E77" s="7" t="s">
        <v>99</v>
      </c>
      <c r="F77" s="7" t="s">
        <v>234</v>
      </c>
      <c r="G77" s="12" t="n">
        <v>13111.11</v>
      </c>
      <c r="H77" s="12" t="n">
        <v>0</v>
      </c>
      <c r="I77" s="12" t="n">
        <f aca="false">ROUND(G77-H77, 2)</f>
        <v>13111.11</v>
      </c>
    </row>
    <row r="78" customFormat="false" ht="18.75" hidden="false" customHeight="true" outlineLevel="0" collapsed="false">
      <c r="A78" s="4" t="s">
        <v>1264</v>
      </c>
      <c r="B78" s="4" t="s">
        <v>1265</v>
      </c>
      <c r="C78" s="4" t="s">
        <v>908</v>
      </c>
      <c r="D78" s="4" t="s">
        <v>401</v>
      </c>
      <c r="E78" s="4" t="s">
        <v>105</v>
      </c>
      <c r="F78" s="4" t="s">
        <v>234</v>
      </c>
      <c r="G78" s="10" t="n">
        <v>13345.36</v>
      </c>
      <c r="H78" s="10" t="n">
        <v>0</v>
      </c>
      <c r="I78" s="10" t="n">
        <f aca="false">ROUND(G78-H78, 2)</f>
        <v>13345.36</v>
      </c>
    </row>
    <row r="79" customFormat="false" ht="18.75" hidden="false" customHeight="true" outlineLevel="0" collapsed="false">
      <c r="A79" s="7" t="s">
        <v>1266</v>
      </c>
      <c r="B79" s="7" t="s">
        <v>1267</v>
      </c>
      <c r="C79" s="7" t="s">
        <v>910</v>
      </c>
      <c r="D79" s="7" t="s">
        <v>404</v>
      </c>
      <c r="E79" s="7" t="s">
        <v>110</v>
      </c>
      <c r="F79" s="7" t="s">
        <v>242</v>
      </c>
      <c r="G79" s="12" t="n">
        <v>13384.27</v>
      </c>
      <c r="H79" s="12" t="n">
        <v>0</v>
      </c>
      <c r="I79" s="12" t="n">
        <f aca="false">ROUND(G79-H79, 2)</f>
        <v>13384.27</v>
      </c>
    </row>
    <row r="80" customFormat="false" ht="18.75" hidden="false" customHeight="true" outlineLevel="0" collapsed="false">
      <c r="A80" s="4" t="s">
        <v>1268</v>
      </c>
      <c r="B80" s="4" t="s">
        <v>1269</v>
      </c>
      <c r="C80" s="4" t="s">
        <v>912</v>
      </c>
      <c r="D80" s="4" t="s">
        <v>407</v>
      </c>
      <c r="E80" s="4" t="s">
        <v>115</v>
      </c>
      <c r="F80" s="4" t="s">
        <v>246</v>
      </c>
      <c r="G80" s="10" t="n">
        <v>13628.15</v>
      </c>
      <c r="H80" s="10" t="n">
        <v>0</v>
      </c>
      <c r="I80" s="10" t="n">
        <f aca="false">ROUND(G80-H80, 2)</f>
        <v>13628.15</v>
      </c>
    </row>
    <row r="81" customFormat="false" ht="18.75" hidden="false" customHeight="true" outlineLevel="0" collapsed="false">
      <c r="A81" s="7" t="s">
        <v>1270</v>
      </c>
      <c r="B81" s="7" t="s">
        <v>1271</v>
      </c>
      <c r="C81" s="7" t="s">
        <v>914</v>
      </c>
      <c r="D81" s="7" t="s">
        <v>410</v>
      </c>
      <c r="E81" s="7" t="s">
        <v>120</v>
      </c>
      <c r="F81" s="7" t="s">
        <v>250</v>
      </c>
      <c r="G81" s="12" t="n">
        <v>13754.73</v>
      </c>
      <c r="H81" s="12" t="n">
        <v>0</v>
      </c>
      <c r="I81" s="12" t="n">
        <f aca="false">ROUND(G81-H81, 2)</f>
        <v>13754.73</v>
      </c>
    </row>
    <row r="82" customFormat="false" ht="18.75" hidden="false" customHeight="true" outlineLevel="0" collapsed="false">
      <c r="A82" s="4" t="s">
        <v>1272</v>
      </c>
      <c r="B82" s="4" t="s">
        <v>1273</v>
      </c>
      <c r="C82" s="4" t="s">
        <v>916</v>
      </c>
      <c r="D82" s="4" t="s">
        <v>413</v>
      </c>
      <c r="E82" s="4" t="s">
        <v>125</v>
      </c>
      <c r="F82" s="4" t="s">
        <v>262</v>
      </c>
      <c r="G82" s="10" t="n">
        <v>13941.34</v>
      </c>
      <c r="H82" s="10" t="n">
        <v>0</v>
      </c>
      <c r="I82" s="10" t="n">
        <f aca="false">ROUND(G82-H82, 2)</f>
        <v>13941.34</v>
      </c>
    </row>
    <row r="83" customFormat="false" ht="18.75" hidden="false" customHeight="true" outlineLevel="0" collapsed="false">
      <c r="A83" s="7" t="s">
        <v>1274</v>
      </c>
      <c r="B83" s="7" t="s">
        <v>1275</v>
      </c>
      <c r="C83" s="7" t="s">
        <v>918</v>
      </c>
      <c r="D83" s="7" t="s">
        <v>416</v>
      </c>
      <c r="E83" s="7" t="s">
        <v>130</v>
      </c>
      <c r="F83" s="7" t="s">
        <v>262</v>
      </c>
      <c r="G83" s="12" t="n">
        <v>14179.48</v>
      </c>
      <c r="H83" s="12" t="n">
        <v>0</v>
      </c>
      <c r="I83" s="12" t="n">
        <f aca="false">ROUND(G83-H83, 2)</f>
        <v>14179.48</v>
      </c>
    </row>
    <row r="84" customFormat="false" ht="18.75" hidden="false" customHeight="true" outlineLevel="0" collapsed="false">
      <c r="A84" s="4" t="s">
        <v>1276</v>
      </c>
      <c r="B84" s="4" t="s">
        <v>1277</v>
      </c>
      <c r="C84" s="4" t="s">
        <v>920</v>
      </c>
      <c r="D84" s="4" t="s">
        <v>419</v>
      </c>
      <c r="E84" s="4" t="s">
        <v>135</v>
      </c>
      <c r="F84" s="4" t="s">
        <v>266</v>
      </c>
      <c r="G84" s="10" t="n">
        <v>14191.21</v>
      </c>
      <c r="H84" s="10" t="n">
        <v>0</v>
      </c>
      <c r="I84" s="10" t="n">
        <f aca="false">ROUND(G84-H84, 2)</f>
        <v>14191.21</v>
      </c>
    </row>
    <row r="85" customFormat="false" ht="18.75" hidden="false" customHeight="true" outlineLevel="0" collapsed="false">
      <c r="A85" s="7" t="s">
        <v>1278</v>
      </c>
      <c r="B85" s="7" t="s">
        <v>1279</v>
      </c>
      <c r="C85" s="7" t="s">
        <v>922</v>
      </c>
      <c r="D85" s="7" t="s">
        <v>422</v>
      </c>
      <c r="E85" s="7" t="s">
        <v>140</v>
      </c>
      <c r="F85" s="7" t="s">
        <v>262</v>
      </c>
      <c r="G85" s="12" t="n">
        <v>14545.7</v>
      </c>
      <c r="H85" s="12" t="n">
        <v>0</v>
      </c>
      <c r="I85" s="12" t="n">
        <f aca="false">ROUND(G85-H85, 2)</f>
        <v>14545.7</v>
      </c>
    </row>
    <row r="86" customFormat="false" ht="18.75" hidden="false" customHeight="true" outlineLevel="0" collapsed="false">
      <c r="A86" s="4" t="s">
        <v>1280</v>
      </c>
      <c r="B86" s="4" t="s">
        <v>1281</v>
      </c>
      <c r="C86" s="4" t="s">
        <v>924</v>
      </c>
      <c r="D86" s="4" t="s">
        <v>425</v>
      </c>
      <c r="E86" s="4" t="s">
        <v>145</v>
      </c>
      <c r="F86" s="4" t="s">
        <v>270</v>
      </c>
      <c r="G86" s="10" t="n">
        <v>14582.69</v>
      </c>
      <c r="H86" s="10" t="n">
        <v>0</v>
      </c>
      <c r="I86" s="10" t="n">
        <f aca="false">ROUND(G86-H86, 2)</f>
        <v>14582.69</v>
      </c>
    </row>
    <row r="87" customFormat="false" ht="18.75" hidden="false" customHeight="true" outlineLevel="0" collapsed="false">
      <c r="A87" s="7" t="s">
        <v>1282</v>
      </c>
      <c r="B87" s="7" t="s">
        <v>1283</v>
      </c>
      <c r="C87" s="7" t="s">
        <v>926</v>
      </c>
      <c r="D87" s="7" t="s">
        <v>428</v>
      </c>
      <c r="E87" s="7" t="s">
        <v>150</v>
      </c>
      <c r="F87" s="7" t="s">
        <v>274</v>
      </c>
      <c r="G87" s="12" t="n">
        <v>14796.31</v>
      </c>
      <c r="H87" s="12" t="n">
        <v>0</v>
      </c>
      <c r="I87" s="12" t="n">
        <f aca="false">ROUND(G87-H87, 2)</f>
        <v>14796.31</v>
      </c>
    </row>
    <row r="88" customFormat="false" ht="18.75" hidden="false" customHeight="true" outlineLevel="0" collapsed="false">
      <c r="A88" s="4" t="s">
        <v>1284</v>
      </c>
      <c r="B88" s="4" t="s">
        <v>1285</v>
      </c>
      <c r="C88" s="4" t="s">
        <v>928</v>
      </c>
      <c r="D88" s="4" t="s">
        <v>431</v>
      </c>
      <c r="E88" s="4" t="s">
        <v>155</v>
      </c>
      <c r="F88" s="4" t="s">
        <v>274</v>
      </c>
      <c r="G88" s="10" t="n">
        <v>15010.57</v>
      </c>
      <c r="H88" s="10" t="n">
        <v>0</v>
      </c>
      <c r="I88" s="10" t="n">
        <f aca="false">ROUND(G88-H88, 2)</f>
        <v>15010.57</v>
      </c>
    </row>
    <row r="89" customFormat="false" ht="18.75" hidden="false" customHeight="true" outlineLevel="0" collapsed="false">
      <c r="A89" s="7" t="s">
        <v>1286</v>
      </c>
      <c r="B89" s="7" t="s">
        <v>1287</v>
      </c>
      <c r="C89" s="7" t="s">
        <v>930</v>
      </c>
      <c r="D89" s="7" t="s">
        <v>434</v>
      </c>
      <c r="E89" s="7" t="s">
        <v>160</v>
      </c>
      <c r="F89" s="7" t="s">
        <v>290</v>
      </c>
      <c r="G89" s="12" t="n">
        <v>15115.5</v>
      </c>
      <c r="H89" s="12" t="n">
        <v>0</v>
      </c>
      <c r="I89" s="12" t="n">
        <f aca="false">ROUND(G89-H89, 2)</f>
        <v>15115.5</v>
      </c>
    </row>
    <row r="90" customFormat="false" ht="18.75" hidden="false" customHeight="true" outlineLevel="0" collapsed="false">
      <c r="A90" s="4" t="s">
        <v>1288</v>
      </c>
      <c r="B90" s="4" t="s">
        <v>1289</v>
      </c>
      <c r="C90" s="4" t="s">
        <v>932</v>
      </c>
      <c r="D90" s="4" t="s">
        <v>437</v>
      </c>
      <c r="E90" s="4" t="s">
        <v>165</v>
      </c>
      <c r="F90" s="4" t="s">
        <v>290</v>
      </c>
      <c r="G90" s="10" t="n">
        <v>15360.43</v>
      </c>
      <c r="H90" s="10" t="n">
        <v>0</v>
      </c>
      <c r="I90" s="10" t="n">
        <f aca="false">ROUND(G90-H90, 2)</f>
        <v>15360.43</v>
      </c>
    </row>
    <row r="91" customFormat="false" ht="18.75" hidden="false" customHeight="true" outlineLevel="0" collapsed="false">
      <c r="A91" s="7" t="s">
        <v>1290</v>
      </c>
      <c r="B91" s="7" t="s">
        <v>1291</v>
      </c>
      <c r="C91" s="7" t="s">
        <v>934</v>
      </c>
      <c r="D91" s="7" t="s">
        <v>440</v>
      </c>
      <c r="E91" s="7" t="s">
        <v>170</v>
      </c>
      <c r="F91" s="7" t="s">
        <v>294</v>
      </c>
      <c r="G91" s="12" t="n">
        <v>15349.87</v>
      </c>
      <c r="H91" s="12" t="n">
        <v>0</v>
      </c>
      <c r="I91" s="12" t="n">
        <f aca="false">ROUND(G91-H91, 2)</f>
        <v>15349.87</v>
      </c>
    </row>
    <row r="92" customFormat="false" ht="18.75" hidden="false" customHeight="true" outlineLevel="0" collapsed="false">
      <c r="A92" s="4" t="s">
        <v>1292</v>
      </c>
      <c r="B92" s="4" t="s">
        <v>1293</v>
      </c>
      <c r="C92" s="4" t="s">
        <v>936</v>
      </c>
      <c r="D92" s="4" t="s">
        <v>443</v>
      </c>
      <c r="E92" s="4" t="s">
        <v>175</v>
      </c>
      <c r="F92" s="4" t="s">
        <v>294</v>
      </c>
      <c r="G92" s="10" t="n">
        <v>15717.98</v>
      </c>
      <c r="H92" s="10" t="n">
        <v>0</v>
      </c>
      <c r="I92" s="10" t="n">
        <f aca="false">ROUND(G92-H92, 2)</f>
        <v>15717.98</v>
      </c>
    </row>
    <row r="93" customFormat="false" ht="18.75" hidden="false" customHeight="true" outlineLevel="0" collapsed="false">
      <c r="A93" s="7" t="s">
        <v>1294</v>
      </c>
      <c r="B93" s="7" t="s">
        <v>1295</v>
      </c>
      <c r="C93" s="7" t="s">
        <v>938</v>
      </c>
      <c r="D93" s="7" t="s">
        <v>446</v>
      </c>
      <c r="E93" s="7" t="s">
        <v>180</v>
      </c>
      <c r="F93" s="7" t="s">
        <v>298</v>
      </c>
      <c r="G93" s="12" t="n">
        <v>15772.65</v>
      </c>
      <c r="H93" s="12" t="n">
        <v>0</v>
      </c>
      <c r="I93" s="12" t="n">
        <f aca="false">ROUND(G93-H93, 2)</f>
        <v>15772.65</v>
      </c>
    </row>
    <row r="94" customFormat="false" ht="18.75" hidden="false" customHeight="true" outlineLevel="0" collapsed="false">
      <c r="A94" s="4" t="s">
        <v>1296</v>
      </c>
      <c r="B94" s="4" t="s">
        <v>1297</v>
      </c>
      <c r="C94" s="4" t="s">
        <v>940</v>
      </c>
      <c r="D94" s="4" t="s">
        <v>449</v>
      </c>
      <c r="E94" s="4" t="s">
        <v>185</v>
      </c>
      <c r="F94" s="4" t="s">
        <v>302</v>
      </c>
      <c r="G94" s="10" t="n">
        <v>15892.96</v>
      </c>
      <c r="H94" s="10" t="n">
        <v>0</v>
      </c>
      <c r="I94" s="10" t="n">
        <f aca="false">ROUND(G94-H94, 2)</f>
        <v>15892.96</v>
      </c>
    </row>
    <row r="95" customFormat="false" ht="18.75" hidden="false" customHeight="true" outlineLevel="0" collapsed="false">
      <c r="A95" s="7" t="s">
        <v>1298</v>
      </c>
      <c r="B95" s="7" t="s">
        <v>1299</v>
      </c>
      <c r="C95" s="7" t="s">
        <v>942</v>
      </c>
      <c r="D95" s="7" t="s">
        <v>452</v>
      </c>
      <c r="E95" s="7" t="s">
        <v>190</v>
      </c>
      <c r="F95" s="7" t="s">
        <v>306</v>
      </c>
      <c r="G95" s="12" t="n">
        <v>16178.66</v>
      </c>
      <c r="H95" s="12" t="n">
        <v>0</v>
      </c>
      <c r="I95" s="12" t="n">
        <f aca="false">ROUND(G95-H95, 2)</f>
        <v>16178.66</v>
      </c>
    </row>
    <row r="96" customFormat="false" ht="18.75" hidden="false" customHeight="true" outlineLevel="0" collapsed="false">
      <c r="A96" s="4" t="s">
        <v>1300</v>
      </c>
      <c r="B96" s="4" t="s">
        <v>1301</v>
      </c>
      <c r="C96" s="4" t="s">
        <v>944</v>
      </c>
      <c r="D96" s="4" t="s">
        <v>455</v>
      </c>
      <c r="E96" s="4" t="s">
        <v>195</v>
      </c>
      <c r="F96" s="4" t="s">
        <v>306</v>
      </c>
      <c r="G96" s="10" t="n">
        <v>16358.91</v>
      </c>
      <c r="H96" s="10" t="n">
        <v>0</v>
      </c>
      <c r="I96" s="10" t="n">
        <f aca="false">ROUND(G96-H96, 2)</f>
        <v>16358.91</v>
      </c>
    </row>
    <row r="97" customFormat="false" ht="18.75" hidden="false" customHeight="true" outlineLevel="0" collapsed="false">
      <c r="A97" s="7" t="s">
        <v>1302</v>
      </c>
      <c r="B97" s="7" t="s">
        <v>1303</v>
      </c>
      <c r="C97" s="7" t="s">
        <v>946</v>
      </c>
      <c r="D97" s="7" t="s">
        <v>458</v>
      </c>
      <c r="E97" s="7" t="s">
        <v>200</v>
      </c>
      <c r="F97" s="7" t="s">
        <v>322</v>
      </c>
      <c r="G97" s="12" t="n">
        <v>16488.45</v>
      </c>
      <c r="H97" s="12" t="n">
        <v>0</v>
      </c>
      <c r="I97" s="12" t="n">
        <f aca="false">ROUND(G97-H97, 2)</f>
        <v>16488.45</v>
      </c>
    </row>
    <row r="98" customFormat="false" ht="18.75" hidden="false" customHeight="true" outlineLevel="0" collapsed="false">
      <c r="A98" s="4" t="s">
        <v>1304</v>
      </c>
      <c r="B98" s="4" t="s">
        <v>1305</v>
      </c>
      <c r="C98" s="4" t="s">
        <v>948</v>
      </c>
      <c r="D98" s="4" t="s">
        <v>461</v>
      </c>
      <c r="E98" s="4" t="s">
        <v>205</v>
      </c>
      <c r="F98" s="4" t="s">
        <v>322</v>
      </c>
      <c r="G98" s="10" t="n">
        <v>16596.1</v>
      </c>
      <c r="H98" s="10" t="n">
        <v>0</v>
      </c>
      <c r="I98" s="10" t="n">
        <f aca="false">ROUND(G98-H98, 2)</f>
        <v>16596.1</v>
      </c>
    </row>
    <row r="99" customFormat="false" ht="18.75" hidden="false" customHeight="true" outlineLevel="0" collapsed="false">
      <c r="A99" s="7" t="s">
        <v>1306</v>
      </c>
      <c r="B99" s="7" t="s">
        <v>1307</v>
      </c>
      <c r="C99" s="7" t="s">
        <v>950</v>
      </c>
      <c r="D99" s="7" t="s">
        <v>464</v>
      </c>
      <c r="E99" s="7" t="s">
        <v>210</v>
      </c>
      <c r="F99" s="7" t="s">
        <v>318</v>
      </c>
      <c r="G99" s="12" t="n">
        <v>16877.83</v>
      </c>
      <c r="H99" s="12" t="n">
        <v>0</v>
      </c>
      <c r="I99" s="12" t="n">
        <f aca="false">ROUND(G99-H99, 2)</f>
        <v>16877.83</v>
      </c>
    </row>
    <row r="100" customFormat="false" ht="18.75" hidden="false" customHeight="true" outlineLevel="0" collapsed="false">
      <c r="A100" s="4" t="s">
        <v>1308</v>
      </c>
      <c r="B100" s="4" t="s">
        <v>1309</v>
      </c>
      <c r="C100" s="4" t="s">
        <v>952</v>
      </c>
      <c r="D100" s="4" t="s">
        <v>467</v>
      </c>
      <c r="E100" s="4" t="s">
        <v>215</v>
      </c>
      <c r="F100" s="4" t="s">
        <v>851</v>
      </c>
      <c r="G100" s="10" t="n">
        <v>16912.79</v>
      </c>
      <c r="H100" s="10" t="n">
        <v>0</v>
      </c>
      <c r="I100" s="10" t="n">
        <f aca="false">ROUND(G100-H100, 2)</f>
        <v>16912.79</v>
      </c>
    </row>
    <row r="101" customFormat="false" ht="18.75" hidden="false" customHeight="true" outlineLevel="0" collapsed="false">
      <c r="A101" s="7" t="s">
        <v>1310</v>
      </c>
      <c r="B101" s="7" t="s">
        <v>1311</v>
      </c>
      <c r="C101" s="7" t="s">
        <v>954</v>
      </c>
      <c r="D101" s="7" t="s">
        <v>470</v>
      </c>
      <c r="E101" s="7" t="s">
        <v>220</v>
      </c>
      <c r="F101" s="7" t="s">
        <v>851</v>
      </c>
      <c r="G101" s="12" t="n">
        <v>17237.59</v>
      </c>
      <c r="H101" s="12" t="n">
        <v>0</v>
      </c>
      <c r="I101" s="12" t="n">
        <f aca="false">ROUND(G101-H101, 2)</f>
        <v>17237.59</v>
      </c>
    </row>
    <row r="102" customFormat="false" ht="18.75" hidden="false" customHeight="true" outlineLevel="0" collapsed="false">
      <c r="A102" s="4" t="s">
        <v>1312</v>
      </c>
      <c r="B102" s="4" t="s">
        <v>1313</v>
      </c>
      <c r="C102" s="4" t="s">
        <v>956</v>
      </c>
      <c r="D102" s="4" t="s">
        <v>473</v>
      </c>
      <c r="E102" s="4" t="s">
        <v>99</v>
      </c>
      <c r="F102" s="4" t="s">
        <v>107</v>
      </c>
      <c r="G102" s="10" t="n">
        <v>17344.49</v>
      </c>
      <c r="H102" s="10" t="n">
        <v>0</v>
      </c>
      <c r="I102" s="10" t="n">
        <f aca="false">ROUND(G102-H102, 2)</f>
        <v>17344.49</v>
      </c>
    </row>
    <row r="103" customFormat="false" ht="18.75" hidden="false" customHeight="true" outlineLevel="0" collapsed="false">
      <c r="A103" s="7" t="s">
        <v>1314</v>
      </c>
      <c r="B103" s="7" t="s">
        <v>1315</v>
      </c>
      <c r="C103" s="7" t="s">
        <v>958</v>
      </c>
      <c r="D103" s="7" t="s">
        <v>476</v>
      </c>
      <c r="E103" s="7" t="s">
        <v>105</v>
      </c>
      <c r="F103" s="7" t="s">
        <v>112</v>
      </c>
      <c r="G103" s="12" t="n">
        <v>17599.16</v>
      </c>
      <c r="H103" s="12" t="n">
        <v>0</v>
      </c>
      <c r="I103" s="12" t="n">
        <f aca="false">ROUND(G103-H103, 2)</f>
        <v>17599.16</v>
      </c>
    </row>
    <row r="104" customFormat="false" ht="18.75" hidden="false" customHeight="true" outlineLevel="0" collapsed="false">
      <c r="A104" s="4" t="s">
        <v>1316</v>
      </c>
      <c r="B104" s="4" t="s">
        <v>1317</v>
      </c>
      <c r="C104" s="4" t="s">
        <v>960</v>
      </c>
      <c r="D104" s="4" t="s">
        <v>479</v>
      </c>
      <c r="E104" s="4" t="s">
        <v>110</v>
      </c>
      <c r="F104" s="4" t="s">
        <v>132</v>
      </c>
      <c r="G104" s="10" t="n">
        <v>17597.23</v>
      </c>
      <c r="H104" s="10" t="n">
        <v>0</v>
      </c>
      <c r="I104" s="10" t="n">
        <f aca="false">ROUND(G104-H104, 2)</f>
        <v>17597.23</v>
      </c>
    </row>
    <row r="105" customFormat="false" ht="18.75" hidden="false" customHeight="true" outlineLevel="0" collapsed="false">
      <c r="A105" s="7" t="s">
        <v>1318</v>
      </c>
      <c r="B105" s="7" t="s">
        <v>1319</v>
      </c>
      <c r="C105" s="7" t="s">
        <v>962</v>
      </c>
      <c r="D105" s="7" t="s">
        <v>482</v>
      </c>
      <c r="E105" s="7" t="s">
        <v>115</v>
      </c>
      <c r="F105" s="7" t="s">
        <v>137</v>
      </c>
      <c r="G105" s="12" t="n">
        <v>17863.1</v>
      </c>
      <c r="H105" s="12" t="n">
        <v>0</v>
      </c>
      <c r="I105" s="12" t="n">
        <f aca="false">ROUND(G105-H105, 2)</f>
        <v>17863.1</v>
      </c>
    </row>
    <row r="106" customFormat="false" ht="18.75" hidden="false" customHeight="true" outlineLevel="0" collapsed="false">
      <c r="A106" s="4" t="s">
        <v>1320</v>
      </c>
      <c r="B106" s="4" t="s">
        <v>1321</v>
      </c>
      <c r="C106" s="4" t="s">
        <v>964</v>
      </c>
      <c r="D106" s="4" t="s">
        <v>485</v>
      </c>
      <c r="E106" s="4" t="s">
        <v>120</v>
      </c>
      <c r="F106" s="4" t="s">
        <v>137</v>
      </c>
      <c r="G106" s="10" t="n">
        <v>17977.89</v>
      </c>
      <c r="H106" s="10" t="n">
        <v>0</v>
      </c>
      <c r="I106" s="10" t="n">
        <f aca="false">ROUND(G106-H106, 2)</f>
        <v>17977.89</v>
      </c>
    </row>
    <row r="107" customFormat="false" ht="18.75" hidden="false" customHeight="true" outlineLevel="0" collapsed="false">
      <c r="A107" s="7" t="s">
        <v>1322</v>
      </c>
      <c r="B107" s="7" t="s">
        <v>1323</v>
      </c>
      <c r="C107" s="7" t="s">
        <v>966</v>
      </c>
      <c r="D107" s="7" t="s">
        <v>488</v>
      </c>
      <c r="E107" s="7" t="s">
        <v>125</v>
      </c>
      <c r="F107" s="7" t="s">
        <v>137</v>
      </c>
      <c r="G107" s="12" t="n">
        <v>328.78</v>
      </c>
      <c r="H107" s="12" t="n">
        <v>0</v>
      </c>
      <c r="I107" s="12" t="n">
        <f aca="false">ROUND(G107-H107, 2)</f>
        <v>328.78</v>
      </c>
    </row>
    <row r="108" customFormat="false" ht="18.75" hidden="false" customHeight="true" outlineLevel="0" collapsed="false">
      <c r="A108" s="4" t="s">
        <v>1324</v>
      </c>
      <c r="B108" s="4" t="s">
        <v>1325</v>
      </c>
      <c r="C108" s="4" t="s">
        <v>968</v>
      </c>
      <c r="D108" s="4" t="s">
        <v>491</v>
      </c>
      <c r="E108" s="4" t="s">
        <v>130</v>
      </c>
      <c r="F108" s="4" t="s">
        <v>137</v>
      </c>
      <c r="G108" s="10" t="n">
        <v>500.21</v>
      </c>
      <c r="H108" s="10" t="n">
        <v>0</v>
      </c>
      <c r="I108" s="10" t="n">
        <f aca="false">ROUND(G108-H108, 2)</f>
        <v>500.21</v>
      </c>
    </row>
    <row r="109" customFormat="false" ht="18.75" hidden="false" customHeight="true" outlineLevel="0" collapsed="false">
      <c r="A109" s="7" t="s">
        <v>1326</v>
      </c>
      <c r="B109" s="7" t="s">
        <v>1327</v>
      </c>
      <c r="C109" s="7" t="s">
        <v>970</v>
      </c>
      <c r="D109" s="7" t="s">
        <v>494</v>
      </c>
      <c r="E109" s="7" t="s">
        <v>135</v>
      </c>
      <c r="F109" s="7" t="s">
        <v>147</v>
      </c>
      <c r="G109" s="12" t="n">
        <v>660.81</v>
      </c>
      <c r="H109" s="12" t="n">
        <v>0</v>
      </c>
      <c r="I109" s="12" t="n">
        <f aca="false">ROUND(G109-H109, 2)</f>
        <v>660.81</v>
      </c>
    </row>
    <row r="110" customFormat="false" ht="18.75" hidden="false" customHeight="true" outlineLevel="0" collapsed="false">
      <c r="A110" s="4" t="s">
        <v>1328</v>
      </c>
      <c r="B110" s="4" t="s">
        <v>1329</v>
      </c>
      <c r="C110" s="4" t="s">
        <v>972</v>
      </c>
      <c r="D110" s="4" t="s">
        <v>497</v>
      </c>
      <c r="E110" s="4" t="s">
        <v>140</v>
      </c>
      <c r="F110" s="4" t="s">
        <v>147</v>
      </c>
      <c r="G110" s="10" t="n">
        <v>842.77</v>
      </c>
      <c r="H110" s="10" t="n">
        <v>0</v>
      </c>
      <c r="I110" s="10" t="n">
        <f aca="false">ROUND(G110-H110, 2)</f>
        <v>842.77</v>
      </c>
    </row>
    <row r="111" customFormat="false" ht="18.75" hidden="false" customHeight="true" outlineLevel="0" collapsed="false">
      <c r="A111" s="7" t="s">
        <v>1330</v>
      </c>
      <c r="B111" s="7" t="s">
        <v>1331</v>
      </c>
      <c r="C111" s="7" t="s">
        <v>974</v>
      </c>
      <c r="D111" s="7" t="s">
        <v>500</v>
      </c>
      <c r="E111" s="7" t="s">
        <v>145</v>
      </c>
      <c r="F111" s="7" t="s">
        <v>167</v>
      </c>
      <c r="G111" s="12" t="n">
        <v>1002.99</v>
      </c>
      <c r="H111" s="12" t="n">
        <v>0</v>
      </c>
      <c r="I111" s="12" t="n">
        <f aca="false">ROUND(G111-H111, 2)</f>
        <v>1002.99</v>
      </c>
    </row>
    <row r="112" customFormat="false" ht="18.75" hidden="false" customHeight="true" outlineLevel="0" collapsed="false">
      <c r="A112" s="4" t="s">
        <v>1332</v>
      </c>
      <c r="B112" s="4" t="s">
        <v>1333</v>
      </c>
      <c r="C112" s="4" t="s">
        <v>976</v>
      </c>
      <c r="D112" s="4" t="s">
        <v>503</v>
      </c>
      <c r="E112" s="4" t="s">
        <v>150</v>
      </c>
      <c r="F112" s="4" t="s">
        <v>172</v>
      </c>
      <c r="G112" s="10" t="n">
        <v>1174.56</v>
      </c>
      <c r="H112" s="10" t="n">
        <v>0</v>
      </c>
      <c r="I112" s="10" t="n">
        <f aca="false">ROUND(G112-H112, 2)</f>
        <v>1174.56</v>
      </c>
    </row>
    <row r="113" customFormat="false" ht="18.75" hidden="false" customHeight="true" outlineLevel="0" collapsed="false">
      <c r="A113" s="7" t="s">
        <v>1334</v>
      </c>
      <c r="B113" s="7" t="s">
        <v>1335</v>
      </c>
      <c r="C113" s="7" t="s">
        <v>978</v>
      </c>
      <c r="D113" s="7" t="s">
        <v>506</v>
      </c>
      <c r="E113" s="7" t="s">
        <v>155</v>
      </c>
      <c r="F113" s="7" t="s">
        <v>167</v>
      </c>
      <c r="G113" s="12" t="n">
        <v>1348.73</v>
      </c>
      <c r="H113" s="12" t="n">
        <v>0</v>
      </c>
      <c r="I113" s="12" t="n">
        <f aca="false">ROUND(G113-H113, 2)</f>
        <v>1348.73</v>
      </c>
    </row>
    <row r="114" customFormat="false" ht="18.75" hidden="false" customHeight="true" outlineLevel="0" collapsed="false">
      <c r="A114" s="4" t="s">
        <v>1336</v>
      </c>
      <c r="B114" s="4" t="s">
        <v>1337</v>
      </c>
      <c r="C114" s="4" t="s">
        <v>980</v>
      </c>
      <c r="D114" s="4" t="s">
        <v>509</v>
      </c>
      <c r="E114" s="4" t="s">
        <v>160</v>
      </c>
      <c r="F114" s="4" t="s">
        <v>172</v>
      </c>
      <c r="G114" s="10" t="n">
        <v>1511.16</v>
      </c>
      <c r="H114" s="10" t="n">
        <v>0</v>
      </c>
      <c r="I114" s="10" t="n">
        <f aca="false">ROUND(G114-H114, 2)</f>
        <v>1511.16</v>
      </c>
    </row>
    <row r="115" customFormat="false" ht="18.75" hidden="false" customHeight="true" outlineLevel="0" collapsed="false">
      <c r="A115" s="7" t="s">
        <v>1338</v>
      </c>
      <c r="B115" s="7" t="s">
        <v>1339</v>
      </c>
      <c r="C115" s="7" t="s">
        <v>982</v>
      </c>
      <c r="D115" s="7" t="s">
        <v>512</v>
      </c>
      <c r="E115" s="7" t="s">
        <v>165</v>
      </c>
      <c r="F115" s="7" t="s">
        <v>172</v>
      </c>
      <c r="G115" s="12" t="n">
        <v>1689.39</v>
      </c>
      <c r="H115" s="12" t="n">
        <v>0</v>
      </c>
      <c r="I115" s="12" t="n">
        <f aca="false">ROUND(G115-H115, 2)</f>
        <v>1689.39</v>
      </c>
    </row>
    <row r="116" customFormat="false" ht="18.75" hidden="false" customHeight="true" outlineLevel="0" collapsed="false">
      <c r="A116" s="4" t="s">
        <v>1340</v>
      </c>
      <c r="B116" s="4" t="s">
        <v>1341</v>
      </c>
      <c r="C116" s="4" t="s">
        <v>984</v>
      </c>
      <c r="D116" s="4" t="s">
        <v>515</v>
      </c>
      <c r="E116" s="4" t="s">
        <v>170</v>
      </c>
      <c r="F116" s="4" t="s">
        <v>182</v>
      </c>
      <c r="G116" s="10" t="n">
        <v>1835.9</v>
      </c>
      <c r="H116" s="10" t="n">
        <v>0</v>
      </c>
      <c r="I116" s="10" t="n">
        <f aca="false">ROUND(G116-H116, 2)</f>
        <v>1835.9</v>
      </c>
    </row>
    <row r="117" customFormat="false" ht="18.75" hidden="false" customHeight="true" outlineLevel="0" collapsed="false">
      <c r="A117" s="7" t="s">
        <v>1342</v>
      </c>
      <c r="B117" s="7" t="s">
        <v>1343</v>
      </c>
      <c r="C117" s="7" t="s">
        <v>986</v>
      </c>
      <c r="D117" s="7" t="s">
        <v>518</v>
      </c>
      <c r="E117" s="7" t="s">
        <v>175</v>
      </c>
      <c r="F117" s="7" t="s">
        <v>187</v>
      </c>
      <c r="G117" s="12" t="n">
        <v>2031.47</v>
      </c>
      <c r="H117" s="12" t="n">
        <v>0</v>
      </c>
      <c r="I117" s="12" t="n">
        <f aca="false">ROUND(G117-H117, 2)</f>
        <v>2031.47</v>
      </c>
    </row>
    <row r="118" customFormat="false" ht="18.75" hidden="false" customHeight="true" outlineLevel="0" collapsed="false">
      <c r="A118" s="4" t="s">
        <v>1344</v>
      </c>
      <c r="B118" s="4" t="s">
        <v>1345</v>
      </c>
      <c r="C118" s="4" t="s">
        <v>988</v>
      </c>
      <c r="D118" s="4" t="s">
        <v>521</v>
      </c>
      <c r="E118" s="4" t="s">
        <v>180</v>
      </c>
      <c r="F118" s="4" t="s">
        <v>202</v>
      </c>
      <c r="G118" s="10" t="n">
        <v>2184.75</v>
      </c>
      <c r="H118" s="10" t="n">
        <v>0</v>
      </c>
      <c r="I118" s="10" t="n">
        <f aca="false">ROUND(G118-H118, 2)</f>
        <v>2184.75</v>
      </c>
    </row>
    <row r="119" customFormat="false" ht="18.75" hidden="false" customHeight="true" outlineLevel="0" collapsed="false">
      <c r="A119" s="7" t="s">
        <v>1346</v>
      </c>
      <c r="B119" s="7" t="s">
        <v>1347</v>
      </c>
      <c r="C119" s="7" t="s">
        <v>990</v>
      </c>
      <c r="D119" s="7" t="s">
        <v>524</v>
      </c>
      <c r="E119" s="7" t="s">
        <v>185</v>
      </c>
      <c r="F119" s="7" t="s">
        <v>207</v>
      </c>
      <c r="G119" s="12" t="n">
        <v>2345.15</v>
      </c>
      <c r="H119" s="12" t="n">
        <v>0</v>
      </c>
      <c r="I119" s="12" t="n">
        <f aca="false">ROUND(G119-H119, 2)</f>
        <v>2345.15</v>
      </c>
    </row>
    <row r="120" customFormat="false" ht="18.75" hidden="false" customHeight="true" outlineLevel="0" collapsed="false">
      <c r="A120" s="4" t="s">
        <v>1348</v>
      </c>
      <c r="B120" s="4" t="s">
        <v>1349</v>
      </c>
      <c r="C120" s="4" t="s">
        <v>992</v>
      </c>
      <c r="D120" s="4" t="s">
        <v>527</v>
      </c>
      <c r="E120" s="4" t="s">
        <v>190</v>
      </c>
      <c r="F120" s="4" t="s">
        <v>207</v>
      </c>
      <c r="G120" s="10" t="n">
        <v>2533.24</v>
      </c>
      <c r="H120" s="10" t="n">
        <v>0</v>
      </c>
      <c r="I120" s="10" t="n">
        <f aca="false">ROUND(G120-H120, 2)</f>
        <v>2533.24</v>
      </c>
    </row>
    <row r="121" customFormat="false" ht="18.75" hidden="false" customHeight="true" outlineLevel="0" collapsed="false">
      <c r="A121" s="7" t="s">
        <v>1350</v>
      </c>
      <c r="B121" s="7" t="s">
        <v>1351</v>
      </c>
      <c r="C121" s="7" t="s">
        <v>994</v>
      </c>
      <c r="D121" s="7" t="s">
        <v>530</v>
      </c>
      <c r="E121" s="7" t="s">
        <v>195</v>
      </c>
      <c r="F121" s="7" t="s">
        <v>202</v>
      </c>
      <c r="G121" s="12" t="n">
        <v>2705.28</v>
      </c>
      <c r="H121" s="12" t="n">
        <v>0</v>
      </c>
      <c r="I121" s="12" t="n">
        <f aca="false">ROUND(G121-H121, 2)</f>
        <v>2705.28</v>
      </c>
    </row>
    <row r="122" customFormat="false" ht="18.75" hidden="false" customHeight="true" outlineLevel="0" collapsed="false">
      <c r="A122" s="4" t="s">
        <v>1352</v>
      </c>
      <c r="B122" s="4" t="s">
        <v>1353</v>
      </c>
      <c r="C122" s="4" t="s">
        <v>996</v>
      </c>
      <c r="D122" s="4" t="s">
        <v>533</v>
      </c>
      <c r="E122" s="4" t="s">
        <v>200</v>
      </c>
      <c r="F122" s="4" t="s">
        <v>212</v>
      </c>
      <c r="G122" s="10" t="n">
        <v>2866.7</v>
      </c>
      <c r="H122" s="10" t="n">
        <v>0</v>
      </c>
      <c r="I122" s="10" t="n">
        <f aca="false">ROUND(G122-H122, 2)</f>
        <v>2866.7</v>
      </c>
    </row>
    <row r="123" customFormat="false" ht="18.75" hidden="false" customHeight="true" outlineLevel="0" collapsed="false">
      <c r="A123" s="7" t="s">
        <v>1354</v>
      </c>
      <c r="B123" s="7" t="s">
        <v>1355</v>
      </c>
      <c r="C123" s="7" t="s">
        <v>998</v>
      </c>
      <c r="D123" s="7" t="s">
        <v>536</v>
      </c>
      <c r="E123" s="7" t="s">
        <v>205</v>
      </c>
      <c r="F123" s="7" t="s">
        <v>217</v>
      </c>
      <c r="G123" s="12" t="n">
        <v>3024.62</v>
      </c>
      <c r="H123" s="12" t="n">
        <v>0</v>
      </c>
      <c r="I123" s="12" t="n">
        <f aca="false">ROUND(G123-H123, 2)</f>
        <v>3024.62</v>
      </c>
    </row>
    <row r="124" customFormat="false" ht="18.75" hidden="false" customHeight="true" outlineLevel="0" collapsed="false">
      <c r="A124" s="4" t="s">
        <v>1356</v>
      </c>
      <c r="B124" s="4" t="s">
        <v>1357</v>
      </c>
      <c r="C124" s="4" t="s">
        <v>1000</v>
      </c>
      <c r="D124" s="4" t="s">
        <v>539</v>
      </c>
      <c r="E124" s="4" t="s">
        <v>210</v>
      </c>
      <c r="F124" s="4" t="s">
        <v>217</v>
      </c>
      <c r="G124" s="10" t="n">
        <v>3215.99</v>
      </c>
      <c r="H124" s="10" t="n">
        <v>0</v>
      </c>
      <c r="I124" s="10" t="n">
        <f aca="false">ROUND(G124-H124, 2)</f>
        <v>3215.99</v>
      </c>
    </row>
    <row r="125" customFormat="false" ht="18.75" hidden="false" customHeight="true" outlineLevel="0" collapsed="false">
      <c r="A125" s="7" t="s">
        <v>1358</v>
      </c>
      <c r="B125" s="7" t="s">
        <v>1359</v>
      </c>
      <c r="C125" s="7" t="s">
        <v>1002</v>
      </c>
      <c r="D125" s="7" t="s">
        <v>542</v>
      </c>
      <c r="E125" s="7" t="s">
        <v>215</v>
      </c>
      <c r="F125" s="7" t="s">
        <v>234</v>
      </c>
      <c r="G125" s="12" t="n">
        <v>3357.75</v>
      </c>
      <c r="H125" s="12" t="n">
        <v>0</v>
      </c>
      <c r="I125" s="12" t="n">
        <f aca="false">ROUND(G125-H125, 2)</f>
        <v>3357.75</v>
      </c>
    </row>
    <row r="126" customFormat="false" ht="18.75" hidden="false" customHeight="true" outlineLevel="0" collapsed="false">
      <c r="A126" s="4" t="s">
        <v>1360</v>
      </c>
      <c r="B126" s="4" t="s">
        <v>1361</v>
      </c>
      <c r="C126" s="4" t="s">
        <v>1004</v>
      </c>
      <c r="D126" s="4" t="s">
        <v>545</v>
      </c>
      <c r="E126" s="4" t="s">
        <v>220</v>
      </c>
      <c r="F126" s="4" t="s">
        <v>234</v>
      </c>
      <c r="G126" s="10" t="n">
        <v>3559.31</v>
      </c>
      <c r="H126" s="10" t="n">
        <v>0</v>
      </c>
      <c r="I126" s="10" t="n">
        <f aca="false">ROUND(G126-H126, 2)</f>
        <v>3559.31</v>
      </c>
    </row>
    <row r="127" customFormat="false" ht="18.75" hidden="false" customHeight="true" outlineLevel="0" collapsed="false">
      <c r="A127" s="7" t="s">
        <v>1362</v>
      </c>
      <c r="B127" s="7" t="s">
        <v>1363</v>
      </c>
      <c r="C127" s="7" t="s">
        <v>1006</v>
      </c>
      <c r="D127" s="7" t="s">
        <v>548</v>
      </c>
      <c r="E127" s="7" t="s">
        <v>99</v>
      </c>
      <c r="F127" s="7" t="s">
        <v>234</v>
      </c>
      <c r="G127" s="12" t="n">
        <v>3715.5</v>
      </c>
      <c r="H127" s="12" t="n">
        <v>0</v>
      </c>
      <c r="I127" s="12" t="n">
        <f aca="false">ROUND(G127-H127, 2)</f>
        <v>3715.5</v>
      </c>
    </row>
    <row r="128" customFormat="false" ht="18.75" hidden="false" customHeight="true" outlineLevel="0" collapsed="false">
      <c r="A128" s="4" t="s">
        <v>1364</v>
      </c>
      <c r="B128" s="4" t="s">
        <v>1365</v>
      </c>
      <c r="C128" s="4" t="s">
        <v>1008</v>
      </c>
      <c r="D128" s="4" t="s">
        <v>551</v>
      </c>
      <c r="E128" s="4" t="s">
        <v>105</v>
      </c>
      <c r="F128" s="4" t="s">
        <v>234</v>
      </c>
      <c r="G128" s="10" t="n">
        <v>3904.44</v>
      </c>
      <c r="H128" s="10" t="n">
        <v>0</v>
      </c>
      <c r="I128" s="10" t="n">
        <f aca="false">ROUND(G128-H128, 2)</f>
        <v>3904.44</v>
      </c>
    </row>
    <row r="129" customFormat="false" ht="18.75" hidden="false" customHeight="true" outlineLevel="0" collapsed="false">
      <c r="A129" s="7" t="s">
        <v>1366</v>
      </c>
      <c r="B129" s="7" t="s">
        <v>1367</v>
      </c>
      <c r="C129" s="7" t="s">
        <v>1010</v>
      </c>
      <c r="D129" s="7" t="s">
        <v>554</v>
      </c>
      <c r="E129" s="7" t="s">
        <v>110</v>
      </c>
      <c r="F129" s="7" t="s">
        <v>242</v>
      </c>
      <c r="G129" s="12" t="n">
        <v>4033</v>
      </c>
      <c r="H129" s="12" t="n">
        <v>0</v>
      </c>
      <c r="I129" s="12" t="n">
        <f aca="false">ROUND(G129-H129, 2)</f>
        <v>4033</v>
      </c>
    </row>
    <row r="130" customFormat="false" ht="18.75" hidden="false" customHeight="true" outlineLevel="0" collapsed="false">
      <c r="A130" s="4" t="s">
        <v>1368</v>
      </c>
      <c r="B130" s="4" t="s">
        <v>1369</v>
      </c>
      <c r="C130" s="4" t="s">
        <v>1012</v>
      </c>
      <c r="D130" s="4" t="s">
        <v>557</v>
      </c>
      <c r="E130" s="4" t="s">
        <v>115</v>
      </c>
      <c r="F130" s="4" t="s">
        <v>246</v>
      </c>
      <c r="G130" s="10" t="n">
        <v>4225.9</v>
      </c>
      <c r="H130" s="10" t="n">
        <v>0</v>
      </c>
      <c r="I130" s="10" t="n">
        <f aca="false">ROUND(G130-H130, 2)</f>
        <v>4225.9</v>
      </c>
    </row>
    <row r="131" customFormat="false" ht="18.75" hidden="false" customHeight="true" outlineLevel="0" collapsed="false">
      <c r="A131" s="7" t="s">
        <v>1370</v>
      </c>
      <c r="B131" s="7" t="s">
        <v>1371</v>
      </c>
      <c r="C131" s="7" t="s">
        <v>1014</v>
      </c>
      <c r="D131" s="7" t="s">
        <v>560</v>
      </c>
      <c r="E131" s="7" t="s">
        <v>120</v>
      </c>
      <c r="F131" s="7" t="s">
        <v>250</v>
      </c>
      <c r="G131" s="12" t="n">
        <v>4381.77</v>
      </c>
      <c r="H131" s="12" t="n">
        <v>0</v>
      </c>
      <c r="I131" s="12" t="n">
        <f aca="false">ROUND(G131-H131, 2)</f>
        <v>4381.77</v>
      </c>
    </row>
    <row r="132" customFormat="false" ht="18.75" hidden="false" customHeight="true" outlineLevel="0" collapsed="false">
      <c r="A132" s="4" t="s">
        <v>1372</v>
      </c>
      <c r="B132" s="4" t="s">
        <v>1373</v>
      </c>
      <c r="C132" s="4" t="s">
        <v>1016</v>
      </c>
      <c r="D132" s="4" t="s">
        <v>563</v>
      </c>
      <c r="E132" s="4" t="s">
        <v>125</v>
      </c>
      <c r="F132" s="4" t="s">
        <v>262</v>
      </c>
      <c r="G132" s="10" t="n">
        <v>4557.06</v>
      </c>
      <c r="H132" s="10" t="n">
        <v>0</v>
      </c>
      <c r="I132" s="10" t="n">
        <f aca="false">ROUND(G132-H132, 2)</f>
        <v>4557.06</v>
      </c>
    </row>
    <row r="133" customFormat="false" ht="18.75" hidden="false" customHeight="true" outlineLevel="0" collapsed="false">
      <c r="A133" s="7" t="s">
        <v>1374</v>
      </c>
      <c r="B133" s="7" t="s">
        <v>1375</v>
      </c>
      <c r="C133" s="7" t="s">
        <v>1018</v>
      </c>
      <c r="D133" s="7" t="s">
        <v>566</v>
      </c>
      <c r="E133" s="7" t="s">
        <v>130</v>
      </c>
      <c r="F133" s="7" t="s">
        <v>262</v>
      </c>
      <c r="G133" s="12" t="n">
        <v>4748.91</v>
      </c>
      <c r="H133" s="12" t="n">
        <v>0</v>
      </c>
      <c r="I133" s="12" t="n">
        <f aca="false">ROUND(G133-H133, 2)</f>
        <v>4748.91</v>
      </c>
    </row>
    <row r="134" customFormat="false" ht="18.75" hidden="false" customHeight="true" outlineLevel="0" collapsed="false">
      <c r="A134" s="4" t="s">
        <v>1376</v>
      </c>
      <c r="B134" s="4" t="s">
        <v>1377</v>
      </c>
      <c r="C134" s="4" t="s">
        <v>1020</v>
      </c>
      <c r="D134" s="4" t="s">
        <v>569</v>
      </c>
      <c r="E134" s="4" t="s">
        <v>135</v>
      </c>
      <c r="F134" s="4" t="s">
        <v>266</v>
      </c>
      <c r="G134" s="10" t="n">
        <v>4863.57</v>
      </c>
      <c r="H134" s="10" t="n">
        <v>0</v>
      </c>
      <c r="I134" s="10" t="n">
        <f aca="false">ROUND(G134-H134, 2)</f>
        <v>4863.57</v>
      </c>
    </row>
    <row r="135" customFormat="false" ht="18.75" hidden="false" customHeight="true" outlineLevel="0" collapsed="false">
      <c r="A135" s="7" t="s">
        <v>1378</v>
      </c>
      <c r="B135" s="7" t="s">
        <v>1379</v>
      </c>
      <c r="C135" s="7" t="s">
        <v>1022</v>
      </c>
      <c r="D135" s="7" t="s">
        <v>572</v>
      </c>
      <c r="E135" s="7" t="s">
        <v>140</v>
      </c>
      <c r="F135" s="7" t="s">
        <v>262</v>
      </c>
      <c r="G135" s="12" t="n">
        <v>5099.12</v>
      </c>
      <c r="H135" s="12" t="n">
        <v>0</v>
      </c>
      <c r="I135" s="12" t="n">
        <f aca="false">ROUND(G135-H135, 2)</f>
        <v>5099.12</v>
      </c>
    </row>
    <row r="136" customFormat="false" ht="18.75" hidden="false" customHeight="true" outlineLevel="0" collapsed="false">
      <c r="A136" s="4" t="s">
        <v>1380</v>
      </c>
      <c r="B136" s="4" t="s">
        <v>1381</v>
      </c>
      <c r="C136" s="4" t="s">
        <v>1024</v>
      </c>
      <c r="D136" s="4" t="s">
        <v>575</v>
      </c>
      <c r="E136" s="4" t="s">
        <v>145</v>
      </c>
      <c r="F136" s="4" t="s">
        <v>270</v>
      </c>
      <c r="G136" s="10" t="n">
        <v>5220.09</v>
      </c>
      <c r="H136" s="10" t="n">
        <v>0</v>
      </c>
      <c r="I136" s="10" t="n">
        <f aca="false">ROUND(G136-H136, 2)</f>
        <v>5220.09</v>
      </c>
    </row>
    <row r="137" customFormat="false" ht="18.75" hidden="false" customHeight="true" outlineLevel="0" collapsed="false">
      <c r="A137" s="7" t="s">
        <v>1382</v>
      </c>
      <c r="B137" s="7" t="s">
        <v>1383</v>
      </c>
      <c r="C137" s="7" t="s">
        <v>1026</v>
      </c>
      <c r="D137" s="7" t="s">
        <v>578</v>
      </c>
      <c r="E137" s="7" t="s">
        <v>150</v>
      </c>
      <c r="F137" s="7" t="s">
        <v>274</v>
      </c>
      <c r="G137" s="12" t="n">
        <v>5405.39</v>
      </c>
      <c r="H137" s="12" t="n">
        <v>0</v>
      </c>
      <c r="I137" s="12" t="n">
        <f aca="false">ROUND(G137-H137, 2)</f>
        <v>5405.39</v>
      </c>
    </row>
    <row r="138" customFormat="false" ht="18.75" hidden="false" customHeight="true" outlineLevel="0" collapsed="false">
      <c r="A138" s="4" t="s">
        <v>1384</v>
      </c>
      <c r="B138" s="4" t="s">
        <v>1385</v>
      </c>
      <c r="C138" s="4" t="s">
        <v>1028</v>
      </c>
      <c r="D138" s="4" t="s">
        <v>581</v>
      </c>
      <c r="E138" s="4" t="s">
        <v>155</v>
      </c>
      <c r="F138" s="4" t="s">
        <v>274</v>
      </c>
      <c r="G138" s="10" t="n">
        <v>5592.31</v>
      </c>
      <c r="H138" s="10" t="n">
        <v>0</v>
      </c>
      <c r="I138" s="10" t="n">
        <f aca="false">ROUND(G138-H138, 2)</f>
        <v>5592.31</v>
      </c>
    </row>
    <row r="139" customFormat="false" ht="18.75" hidden="false" customHeight="true" outlineLevel="0" collapsed="false">
      <c r="A139" s="7" t="s">
        <v>1386</v>
      </c>
      <c r="B139" s="7" t="s">
        <v>1387</v>
      </c>
      <c r="C139" s="7" t="s">
        <v>1030</v>
      </c>
      <c r="D139" s="7" t="s">
        <v>584</v>
      </c>
      <c r="E139" s="7" t="s">
        <v>160</v>
      </c>
      <c r="F139" s="7" t="s">
        <v>290</v>
      </c>
      <c r="G139" s="12" t="n">
        <v>5735.91</v>
      </c>
      <c r="H139" s="12" t="n">
        <v>0</v>
      </c>
      <c r="I139" s="12" t="n">
        <f aca="false">ROUND(G139-H139, 2)</f>
        <v>5735.91</v>
      </c>
    </row>
    <row r="140" customFormat="false" ht="18.75" hidden="false" customHeight="true" outlineLevel="0" collapsed="false">
      <c r="A140" s="4" t="s">
        <v>1388</v>
      </c>
      <c r="B140" s="4" t="s">
        <v>1389</v>
      </c>
      <c r="C140" s="4" t="s">
        <v>1032</v>
      </c>
      <c r="D140" s="4" t="s">
        <v>587</v>
      </c>
      <c r="E140" s="4" t="s">
        <v>165</v>
      </c>
      <c r="F140" s="4" t="s">
        <v>290</v>
      </c>
      <c r="G140" s="10" t="n">
        <v>5935.53</v>
      </c>
      <c r="H140" s="10" t="n">
        <v>0</v>
      </c>
      <c r="I140" s="10" t="n">
        <f aca="false">ROUND(G140-H140, 2)</f>
        <v>5935.53</v>
      </c>
    </row>
    <row r="141" customFormat="false" ht="18.75" hidden="false" customHeight="true" outlineLevel="0" collapsed="false">
      <c r="A141" s="7" t="s">
        <v>1390</v>
      </c>
      <c r="B141" s="7" t="s">
        <v>1391</v>
      </c>
      <c r="C141" s="7" t="s">
        <v>1034</v>
      </c>
      <c r="D141" s="7" t="s">
        <v>590</v>
      </c>
      <c r="E141" s="7" t="s">
        <v>170</v>
      </c>
      <c r="F141" s="7" t="s">
        <v>294</v>
      </c>
      <c r="G141" s="12" t="n">
        <v>6033.55</v>
      </c>
      <c r="H141" s="12" t="n">
        <v>0</v>
      </c>
      <c r="I141" s="12" t="n">
        <f aca="false">ROUND(G141-H141, 2)</f>
        <v>6033.55</v>
      </c>
    </row>
    <row r="142" customFormat="false" ht="18.75" hidden="false" customHeight="true" outlineLevel="0" collapsed="false">
      <c r="A142" s="4" t="s">
        <v>1392</v>
      </c>
      <c r="B142" s="4" t="s">
        <v>1393</v>
      </c>
      <c r="C142" s="4" t="s">
        <v>1036</v>
      </c>
      <c r="D142" s="4" t="s">
        <v>593</v>
      </c>
      <c r="E142" s="4" t="s">
        <v>175</v>
      </c>
      <c r="F142" s="4" t="s">
        <v>294</v>
      </c>
      <c r="G142" s="10" t="n">
        <v>6282.72</v>
      </c>
      <c r="H142" s="10" t="n">
        <v>0</v>
      </c>
      <c r="I142" s="10" t="n">
        <f aca="false">ROUND(G142-H142, 2)</f>
        <v>6282.72</v>
      </c>
    </row>
    <row r="143" customFormat="false" ht="18.75" hidden="false" customHeight="true" outlineLevel="0" collapsed="false">
      <c r="A143" s="7" t="s">
        <v>1394</v>
      </c>
      <c r="B143" s="7" t="s">
        <v>1395</v>
      </c>
      <c r="C143" s="7" t="s">
        <v>1038</v>
      </c>
      <c r="D143" s="7" t="s">
        <v>596</v>
      </c>
      <c r="E143" s="7" t="s">
        <v>180</v>
      </c>
      <c r="F143" s="7" t="s">
        <v>298</v>
      </c>
      <c r="G143" s="12" t="n">
        <v>6404.39</v>
      </c>
      <c r="H143" s="12" t="n">
        <v>0</v>
      </c>
      <c r="I143" s="12" t="n">
        <f aca="false">ROUND(G143-H143, 2)</f>
        <v>6404.39</v>
      </c>
    </row>
    <row r="144" customFormat="false" ht="18.75" hidden="false" customHeight="true" outlineLevel="0" collapsed="false">
      <c r="A144" s="4" t="s">
        <v>1396</v>
      </c>
      <c r="B144" s="4" t="s">
        <v>1397</v>
      </c>
      <c r="C144" s="4" t="s">
        <v>1040</v>
      </c>
      <c r="D144" s="4" t="s">
        <v>599</v>
      </c>
      <c r="E144" s="4" t="s">
        <v>185</v>
      </c>
      <c r="F144" s="4" t="s">
        <v>302</v>
      </c>
      <c r="G144" s="10" t="n">
        <v>6553.02</v>
      </c>
      <c r="H144" s="10" t="n">
        <v>0</v>
      </c>
      <c r="I144" s="10" t="n">
        <f aca="false">ROUND(G144-H144, 2)</f>
        <v>6553.02</v>
      </c>
    </row>
    <row r="145" customFormat="false" ht="18.75" hidden="false" customHeight="true" outlineLevel="0" collapsed="false">
      <c r="A145" s="7" t="s">
        <v>1398</v>
      </c>
      <c r="B145" s="7" t="s">
        <v>1399</v>
      </c>
      <c r="C145" s="7" t="s">
        <v>1042</v>
      </c>
      <c r="D145" s="7" t="s">
        <v>602</v>
      </c>
      <c r="E145" s="7" t="s">
        <v>190</v>
      </c>
      <c r="F145" s="7" t="s">
        <v>306</v>
      </c>
      <c r="G145" s="12" t="n">
        <v>6771.73</v>
      </c>
      <c r="H145" s="12" t="n">
        <v>0</v>
      </c>
      <c r="I145" s="12" t="n">
        <f aca="false">ROUND(G145-H145, 2)</f>
        <v>6771.73</v>
      </c>
    </row>
    <row r="146" customFormat="false" ht="18.75" hidden="false" customHeight="true" outlineLevel="0" collapsed="false">
      <c r="A146" s="4" t="s">
        <v>1400</v>
      </c>
      <c r="B146" s="4" t="s">
        <v>1401</v>
      </c>
      <c r="C146" s="4" t="s">
        <v>1044</v>
      </c>
      <c r="D146" s="4" t="s">
        <v>605</v>
      </c>
      <c r="E146" s="4" t="s">
        <v>195</v>
      </c>
      <c r="F146" s="4" t="s">
        <v>306</v>
      </c>
      <c r="G146" s="10" t="n">
        <v>6945.34</v>
      </c>
      <c r="H146" s="10" t="n">
        <v>0</v>
      </c>
      <c r="I146" s="10" t="n">
        <f aca="false">ROUND(G146-H146, 2)</f>
        <v>6945.34</v>
      </c>
    </row>
    <row r="147" customFormat="false" ht="18.75" hidden="false" customHeight="true" outlineLevel="0" collapsed="false">
      <c r="A147" s="7" t="s">
        <v>1402</v>
      </c>
      <c r="B147" s="7" t="s">
        <v>1403</v>
      </c>
      <c r="C147" s="7" t="s">
        <v>1046</v>
      </c>
      <c r="D147" s="7" t="s">
        <v>608</v>
      </c>
      <c r="E147" s="7" t="s">
        <v>200</v>
      </c>
      <c r="F147" s="7" t="s">
        <v>322</v>
      </c>
      <c r="G147" s="12" t="n">
        <v>7097.53</v>
      </c>
      <c r="H147" s="12" t="n">
        <v>0</v>
      </c>
      <c r="I147" s="12" t="n">
        <f aca="false">ROUND(G147-H147, 2)</f>
        <v>7097.53</v>
      </c>
    </row>
    <row r="148" customFormat="false" ht="18.75" hidden="false" customHeight="true" outlineLevel="0" collapsed="false">
      <c r="A148" s="4" t="s">
        <v>1404</v>
      </c>
      <c r="B148" s="4" t="s">
        <v>1405</v>
      </c>
      <c r="C148" s="4" t="s">
        <v>1048</v>
      </c>
      <c r="D148" s="4" t="s">
        <v>611</v>
      </c>
      <c r="E148" s="4" t="s">
        <v>205</v>
      </c>
      <c r="F148" s="4" t="s">
        <v>322</v>
      </c>
      <c r="G148" s="10" t="n">
        <v>7240.14</v>
      </c>
      <c r="H148" s="10" t="n">
        <v>0</v>
      </c>
      <c r="I148" s="10" t="n">
        <f aca="false">ROUND(G148-H148, 2)</f>
        <v>7240.14</v>
      </c>
    </row>
    <row r="149" customFormat="false" ht="18.75" hidden="false" customHeight="true" outlineLevel="0" collapsed="false">
      <c r="A149" s="7" t="s">
        <v>1406</v>
      </c>
      <c r="B149" s="7" t="s">
        <v>1407</v>
      </c>
      <c r="C149" s="7" t="s">
        <v>1050</v>
      </c>
      <c r="D149" s="7" t="s">
        <v>614</v>
      </c>
      <c r="E149" s="7" t="s">
        <v>210</v>
      </c>
      <c r="F149" s="7" t="s">
        <v>318</v>
      </c>
      <c r="G149" s="12" t="n">
        <v>7459.57</v>
      </c>
      <c r="H149" s="12" t="n">
        <v>0</v>
      </c>
      <c r="I149" s="12" t="n">
        <f aca="false">ROUND(G149-H149, 2)</f>
        <v>7459.57</v>
      </c>
    </row>
    <row r="150" customFormat="false" ht="18.75" hidden="false" customHeight="true" outlineLevel="0" collapsed="false">
      <c r="A150" s="4" t="s">
        <v>1408</v>
      </c>
      <c r="B150" s="4" t="s">
        <v>1409</v>
      </c>
      <c r="C150" s="4" t="s">
        <v>1052</v>
      </c>
      <c r="D150" s="4" t="s">
        <v>617</v>
      </c>
      <c r="E150" s="4" t="s">
        <v>215</v>
      </c>
      <c r="F150" s="4" t="s">
        <v>851</v>
      </c>
      <c r="G150" s="10" t="n">
        <v>7567.18</v>
      </c>
      <c r="H150" s="10" t="n">
        <v>0</v>
      </c>
      <c r="I150" s="10" t="n">
        <f aca="false">ROUND(G150-H150, 2)</f>
        <v>7567.18</v>
      </c>
    </row>
    <row r="151" customFormat="false" ht="18.75" hidden="false" customHeight="true" outlineLevel="0" collapsed="false">
      <c r="A151" s="7" t="s">
        <v>1410</v>
      </c>
      <c r="B151" s="7" t="s">
        <v>1411</v>
      </c>
      <c r="C151" s="7" t="s">
        <v>1054</v>
      </c>
      <c r="D151" s="7" t="s">
        <v>620</v>
      </c>
      <c r="E151" s="7" t="s">
        <v>220</v>
      </c>
      <c r="F151" s="7" t="s">
        <v>851</v>
      </c>
      <c r="G151" s="12" t="n">
        <v>7808</v>
      </c>
      <c r="H151" s="12" t="n">
        <v>0</v>
      </c>
      <c r="I151" s="12" t="n">
        <f aca="false">ROUND(G151-H151, 2)</f>
        <v>7808</v>
      </c>
    </row>
    <row r="152" customFormat="false" ht="18.75" hidden="false" customHeight="true" outlineLevel="0" collapsed="false">
      <c r="A152" s="4" t="s">
        <v>1412</v>
      </c>
      <c r="B152" s="4" t="s">
        <v>1413</v>
      </c>
      <c r="C152" s="4" t="s">
        <v>1056</v>
      </c>
      <c r="D152" s="4" t="s">
        <v>623</v>
      </c>
      <c r="E152" s="4" t="s">
        <v>99</v>
      </c>
      <c r="F152" s="4" t="s">
        <v>107</v>
      </c>
      <c r="G152" s="10" t="n">
        <v>7948.88</v>
      </c>
      <c r="H152" s="10" t="n">
        <v>0</v>
      </c>
      <c r="I152" s="10" t="n">
        <f aca="false">ROUND(G152-H152, 2)</f>
        <v>7948.88</v>
      </c>
    </row>
    <row r="153" customFormat="false" ht="18.75" hidden="false" customHeight="true" outlineLevel="0" collapsed="false">
      <c r="A153" s="7" t="s">
        <v>1414</v>
      </c>
      <c r="B153" s="7" t="s">
        <v>1415</v>
      </c>
      <c r="C153" s="7" t="s">
        <v>1058</v>
      </c>
      <c r="D153" s="7" t="s">
        <v>626</v>
      </c>
      <c r="E153" s="7" t="s">
        <v>105</v>
      </c>
      <c r="F153" s="7" t="s">
        <v>112</v>
      </c>
      <c r="G153" s="12" t="n">
        <v>8157.25</v>
      </c>
      <c r="H153" s="12" t="n">
        <v>0</v>
      </c>
      <c r="I153" s="12" t="n">
        <f aca="false">ROUND(G153-H153, 2)</f>
        <v>8157.25</v>
      </c>
    </row>
    <row r="154" customFormat="false" ht="18.75" hidden="false" customHeight="true" outlineLevel="0" collapsed="false">
      <c r="A154" s="4" t="s">
        <v>1416</v>
      </c>
      <c r="B154" s="4" t="s">
        <v>1417</v>
      </c>
      <c r="C154" s="4" t="s">
        <v>1060</v>
      </c>
      <c r="D154" s="4" t="s">
        <v>629</v>
      </c>
      <c r="E154" s="4" t="s">
        <v>110</v>
      </c>
      <c r="F154" s="4" t="s">
        <v>132</v>
      </c>
      <c r="G154" s="10" t="n">
        <v>8245.96</v>
      </c>
      <c r="H154" s="10" t="n">
        <v>0</v>
      </c>
      <c r="I154" s="10" t="n">
        <f aca="false">ROUND(G154-H154, 2)</f>
        <v>8245.96</v>
      </c>
    </row>
    <row r="155" customFormat="false" ht="18.75" hidden="false" customHeight="true" outlineLevel="0" collapsed="false">
      <c r="A155" s="7" t="s">
        <v>1418</v>
      </c>
      <c r="B155" s="7" t="s">
        <v>1419</v>
      </c>
      <c r="C155" s="7" t="s">
        <v>1062</v>
      </c>
      <c r="D155" s="7" t="s">
        <v>632</v>
      </c>
      <c r="E155" s="7" t="s">
        <v>115</v>
      </c>
      <c r="F155" s="7" t="s">
        <v>137</v>
      </c>
      <c r="G155" s="12" t="n">
        <v>8461.82</v>
      </c>
      <c r="H155" s="12" t="n">
        <v>0</v>
      </c>
      <c r="I155" s="12" t="n">
        <f aca="false">ROUND(G155-H155, 2)</f>
        <v>8461.82</v>
      </c>
    </row>
    <row r="156" customFormat="false" ht="18.75" hidden="false" customHeight="true" outlineLevel="0" collapsed="false">
      <c r="A156" s="4" t="s">
        <v>1420</v>
      </c>
      <c r="B156" s="4" t="s">
        <v>1421</v>
      </c>
      <c r="C156" s="4" t="s">
        <v>1064</v>
      </c>
      <c r="D156" s="4" t="s">
        <v>635</v>
      </c>
      <c r="E156" s="4" t="s">
        <v>120</v>
      </c>
      <c r="F156" s="4" t="s">
        <v>137</v>
      </c>
      <c r="G156" s="10" t="n">
        <v>8604.94</v>
      </c>
      <c r="H156" s="10" t="n">
        <v>0</v>
      </c>
      <c r="I156" s="10" t="n">
        <f aca="false">ROUND(G156-H156, 2)</f>
        <v>8604.94</v>
      </c>
    </row>
    <row r="157" customFormat="false" ht="18.75" hidden="false" customHeight="true" outlineLevel="0" collapsed="false">
      <c r="A157" s="7" t="s">
        <v>1422</v>
      </c>
      <c r="B157" s="7" t="s">
        <v>1423</v>
      </c>
      <c r="C157" s="7" t="s">
        <v>1066</v>
      </c>
      <c r="D157" s="7" t="s">
        <v>638</v>
      </c>
      <c r="E157" s="7" t="s">
        <v>125</v>
      </c>
      <c r="F157" s="7" t="s">
        <v>137</v>
      </c>
      <c r="G157" s="12" t="n">
        <v>8784.36</v>
      </c>
      <c r="H157" s="12" t="n">
        <v>0</v>
      </c>
      <c r="I157" s="12" t="n">
        <f aca="false">ROUND(G157-H157, 2)</f>
        <v>8784.36</v>
      </c>
    </row>
    <row r="158" customFormat="false" ht="18.75" hidden="false" customHeight="true" outlineLevel="0" collapsed="false">
      <c r="A158" s="4" t="s">
        <v>1424</v>
      </c>
      <c r="B158" s="4" t="s">
        <v>1425</v>
      </c>
      <c r="C158" s="4" t="s">
        <v>1068</v>
      </c>
      <c r="D158" s="4" t="s">
        <v>641</v>
      </c>
      <c r="E158" s="4" t="s">
        <v>130</v>
      </c>
      <c r="F158" s="4" t="s">
        <v>137</v>
      </c>
      <c r="G158" s="10" t="n">
        <v>8997.6</v>
      </c>
      <c r="H158" s="10" t="n">
        <v>0</v>
      </c>
      <c r="I158" s="10" t="n">
        <f aca="false">ROUND(G158-H158, 2)</f>
        <v>8997.6</v>
      </c>
    </row>
    <row r="159" customFormat="false" ht="18.75" hidden="false" customHeight="true" outlineLevel="0" collapsed="false">
      <c r="A159" s="7" t="s">
        <v>1426</v>
      </c>
      <c r="B159" s="7" t="s">
        <v>1427</v>
      </c>
      <c r="C159" s="7" t="s">
        <v>1070</v>
      </c>
      <c r="D159" s="7" t="s">
        <v>644</v>
      </c>
      <c r="E159" s="7" t="s">
        <v>135</v>
      </c>
      <c r="F159" s="7" t="s">
        <v>147</v>
      </c>
      <c r="G159" s="12" t="n">
        <v>9066.32</v>
      </c>
      <c r="H159" s="12" t="n">
        <v>0</v>
      </c>
      <c r="I159" s="12" t="n">
        <f aca="false">ROUND(G159-H159, 2)</f>
        <v>9066.32</v>
      </c>
    </row>
    <row r="160" customFormat="false" ht="18.75" hidden="false" customHeight="true" outlineLevel="0" collapsed="false">
      <c r="A160" s="4" t="s">
        <v>1428</v>
      </c>
      <c r="B160" s="4" t="s">
        <v>1429</v>
      </c>
      <c r="C160" s="4" t="s">
        <v>1072</v>
      </c>
      <c r="D160" s="4" t="s">
        <v>647</v>
      </c>
      <c r="E160" s="4" t="s">
        <v>140</v>
      </c>
      <c r="F160" s="4" t="s">
        <v>147</v>
      </c>
      <c r="G160" s="10" t="n">
        <v>9354.48</v>
      </c>
      <c r="H160" s="10" t="n">
        <v>0</v>
      </c>
      <c r="I160" s="10" t="n">
        <f aca="false">ROUND(G160-H160, 2)</f>
        <v>9354.48</v>
      </c>
    </row>
    <row r="161" customFormat="false" ht="18.75" hidden="false" customHeight="true" outlineLevel="0" collapsed="false">
      <c r="A161" s="7" t="s">
        <v>1430</v>
      </c>
      <c r="B161" s="7" t="s">
        <v>1431</v>
      </c>
      <c r="C161" s="7" t="s">
        <v>1074</v>
      </c>
      <c r="D161" s="7" t="s">
        <v>650</v>
      </c>
      <c r="E161" s="7" t="s">
        <v>145</v>
      </c>
      <c r="F161" s="7" t="s">
        <v>167</v>
      </c>
      <c r="G161" s="12" t="n">
        <v>9438.16</v>
      </c>
      <c r="H161" s="12" t="n">
        <v>0</v>
      </c>
      <c r="I161" s="12" t="n">
        <f aca="false">ROUND(G161-H161, 2)</f>
        <v>9438.16</v>
      </c>
    </row>
    <row r="162" customFormat="false" ht="18.75" hidden="false" customHeight="true" outlineLevel="0" collapsed="false">
      <c r="A162" s="4" t="s">
        <v>1432</v>
      </c>
      <c r="B162" s="4" t="s">
        <v>1433</v>
      </c>
      <c r="C162" s="4" t="s">
        <v>1076</v>
      </c>
      <c r="D162" s="4" t="s">
        <v>653</v>
      </c>
      <c r="E162" s="4" t="s">
        <v>150</v>
      </c>
      <c r="F162" s="4" t="s">
        <v>172</v>
      </c>
      <c r="G162" s="10" t="n">
        <v>9636.23</v>
      </c>
      <c r="H162" s="10" t="n">
        <v>0</v>
      </c>
      <c r="I162" s="10" t="n">
        <f aca="false">ROUND(G162-H162, 2)</f>
        <v>9636.23</v>
      </c>
    </row>
    <row r="163" customFormat="false" ht="18.75" hidden="false" customHeight="true" outlineLevel="0" collapsed="false">
      <c r="A163" s="7" t="s">
        <v>1434</v>
      </c>
      <c r="B163" s="7" t="s">
        <v>1435</v>
      </c>
      <c r="C163" s="7" t="s">
        <v>1078</v>
      </c>
      <c r="D163" s="7" t="s">
        <v>656</v>
      </c>
      <c r="E163" s="7" t="s">
        <v>155</v>
      </c>
      <c r="F163" s="7" t="s">
        <v>167</v>
      </c>
      <c r="G163" s="12" t="n">
        <v>9835.9</v>
      </c>
      <c r="H163" s="12" t="n">
        <v>0</v>
      </c>
      <c r="I163" s="12" t="n">
        <f aca="false">ROUND(G163-H163, 2)</f>
        <v>9835.9</v>
      </c>
    </row>
    <row r="164" customFormat="false" ht="18.75" hidden="false" customHeight="true" outlineLevel="0" collapsed="false">
      <c r="A164" s="4" t="s">
        <v>1436</v>
      </c>
      <c r="B164" s="4" t="s">
        <v>1437</v>
      </c>
      <c r="C164" s="4" t="s">
        <v>1080</v>
      </c>
      <c r="D164" s="4" t="s">
        <v>659</v>
      </c>
      <c r="E164" s="4" t="s">
        <v>160</v>
      </c>
      <c r="F164" s="4" t="s">
        <v>172</v>
      </c>
      <c r="G164" s="10" t="n">
        <v>9961.63</v>
      </c>
      <c r="H164" s="10" t="n">
        <v>0</v>
      </c>
      <c r="I164" s="10" t="n">
        <f aca="false">ROUND(G164-H164, 2)</f>
        <v>9961.63</v>
      </c>
    </row>
    <row r="165" customFormat="false" ht="18.75" hidden="false" customHeight="true" outlineLevel="0" collapsed="false">
      <c r="A165" s="7" t="s">
        <v>1438</v>
      </c>
      <c r="B165" s="7" t="s">
        <v>1439</v>
      </c>
      <c r="C165" s="7" t="s">
        <v>1082</v>
      </c>
      <c r="D165" s="7" t="s">
        <v>662</v>
      </c>
      <c r="E165" s="7" t="s">
        <v>165</v>
      </c>
      <c r="F165" s="7" t="s">
        <v>172</v>
      </c>
      <c r="G165" s="12" t="n">
        <v>10181.67</v>
      </c>
      <c r="H165" s="12" t="n">
        <v>0</v>
      </c>
      <c r="I165" s="12" t="n">
        <f aca="false">ROUND(G165-H165, 2)</f>
        <v>10181.67</v>
      </c>
    </row>
    <row r="166" customFormat="false" ht="18.75" hidden="false" customHeight="true" outlineLevel="0" collapsed="false">
      <c r="A166" s="4" t="s">
        <v>1440</v>
      </c>
      <c r="B166" s="4" t="s">
        <v>1441</v>
      </c>
      <c r="C166" s="4" t="s">
        <v>1084</v>
      </c>
      <c r="D166" s="4" t="s">
        <v>665</v>
      </c>
      <c r="E166" s="4" t="s">
        <v>170</v>
      </c>
      <c r="F166" s="4" t="s">
        <v>182</v>
      </c>
      <c r="G166" s="10" t="n">
        <v>10231.2</v>
      </c>
      <c r="H166" s="10" t="n">
        <v>0</v>
      </c>
      <c r="I166" s="10" t="n">
        <f aca="false">ROUND(G166-H166, 2)</f>
        <v>10231.2</v>
      </c>
    </row>
    <row r="167" customFormat="false" ht="18.75" hidden="false" customHeight="true" outlineLevel="0" collapsed="false">
      <c r="A167" s="7" t="s">
        <v>1442</v>
      </c>
      <c r="B167" s="7" t="s">
        <v>1443</v>
      </c>
      <c r="C167" s="7" t="s">
        <v>1086</v>
      </c>
      <c r="D167" s="7" t="s">
        <v>668</v>
      </c>
      <c r="E167" s="7" t="s">
        <v>175</v>
      </c>
      <c r="F167" s="7" t="s">
        <v>187</v>
      </c>
      <c r="G167" s="12" t="n">
        <v>10532.99</v>
      </c>
      <c r="H167" s="12" t="n">
        <v>0</v>
      </c>
      <c r="I167" s="12" t="n">
        <f aca="false">ROUND(G167-H167, 2)</f>
        <v>10532.99</v>
      </c>
    </row>
    <row r="168" customFormat="false" ht="18.75" hidden="false" customHeight="true" outlineLevel="0" collapsed="false">
      <c r="A168" s="4" t="s">
        <v>1444</v>
      </c>
      <c r="B168" s="4" t="s">
        <v>1445</v>
      </c>
      <c r="C168" s="4" t="s">
        <v>1088</v>
      </c>
      <c r="D168" s="4" t="s">
        <v>671</v>
      </c>
      <c r="E168" s="4" t="s">
        <v>180</v>
      </c>
      <c r="F168" s="4" t="s">
        <v>202</v>
      </c>
      <c r="G168" s="10" t="n">
        <v>10625.02</v>
      </c>
      <c r="H168" s="10" t="n">
        <v>0</v>
      </c>
      <c r="I168" s="10" t="n">
        <f aca="false">ROUND(G168-H168, 2)</f>
        <v>10625.02</v>
      </c>
    </row>
    <row r="169" customFormat="false" ht="18.75" hidden="false" customHeight="true" outlineLevel="0" collapsed="false">
      <c r="A169" s="7" t="s">
        <v>1446</v>
      </c>
      <c r="B169" s="7" t="s">
        <v>1447</v>
      </c>
      <c r="C169" s="7" t="s">
        <v>1090</v>
      </c>
      <c r="D169" s="7" t="s">
        <v>674</v>
      </c>
      <c r="E169" s="7" t="s">
        <v>185</v>
      </c>
      <c r="F169" s="7" t="s">
        <v>207</v>
      </c>
      <c r="G169" s="12" t="n">
        <v>10760.88</v>
      </c>
      <c r="H169" s="12" t="n">
        <v>0</v>
      </c>
      <c r="I169" s="12" t="n">
        <f aca="false">ROUND(G169-H169, 2)</f>
        <v>10760.88</v>
      </c>
    </row>
    <row r="170" customFormat="false" ht="18.75" hidden="false" customHeight="true" outlineLevel="0" collapsed="false">
      <c r="A170" s="4" t="s">
        <v>1448</v>
      </c>
      <c r="B170" s="4" t="s">
        <v>1449</v>
      </c>
      <c r="C170" s="4" t="s">
        <v>1092</v>
      </c>
      <c r="D170" s="4" t="s">
        <v>677</v>
      </c>
      <c r="E170" s="4" t="s">
        <v>190</v>
      </c>
      <c r="F170" s="4" t="s">
        <v>207</v>
      </c>
      <c r="G170" s="10" t="n">
        <v>11009.23</v>
      </c>
      <c r="H170" s="10" t="n">
        <v>0</v>
      </c>
      <c r="I170" s="10" t="n">
        <f aca="false">ROUND(G170-H170, 2)</f>
        <v>11009.23</v>
      </c>
    </row>
    <row r="171" customFormat="false" ht="18.75" hidden="false" customHeight="true" outlineLevel="0" collapsed="false">
      <c r="A171" s="7" t="s">
        <v>1450</v>
      </c>
      <c r="B171" s="7" t="s">
        <v>1451</v>
      </c>
      <c r="C171" s="7" t="s">
        <v>1094</v>
      </c>
      <c r="D171" s="7" t="s">
        <v>680</v>
      </c>
      <c r="E171" s="7" t="s">
        <v>195</v>
      </c>
      <c r="F171" s="7" t="s">
        <v>202</v>
      </c>
      <c r="G171" s="12" t="n">
        <v>11186.37</v>
      </c>
      <c r="H171" s="12" t="n">
        <v>0</v>
      </c>
      <c r="I171" s="12" t="n">
        <f aca="false">ROUND(G171-H171, 2)</f>
        <v>11186.37</v>
      </c>
    </row>
    <row r="172" customFormat="false" ht="18.75" hidden="false" customHeight="true" outlineLevel="0" collapsed="false">
      <c r="A172" s="4" t="s">
        <v>1452</v>
      </c>
      <c r="B172" s="4" t="s">
        <v>1453</v>
      </c>
      <c r="C172" s="4" t="s">
        <v>1096</v>
      </c>
      <c r="D172" s="4" t="s">
        <v>683</v>
      </c>
      <c r="E172" s="4" t="s">
        <v>200</v>
      </c>
      <c r="F172" s="4" t="s">
        <v>212</v>
      </c>
      <c r="G172" s="10" t="n">
        <v>11328.36</v>
      </c>
      <c r="H172" s="10" t="n">
        <v>0</v>
      </c>
      <c r="I172" s="10" t="n">
        <f aca="false">ROUND(G172-H172, 2)</f>
        <v>11328.36</v>
      </c>
    </row>
    <row r="173" customFormat="false" ht="18.75" hidden="false" customHeight="true" outlineLevel="0" collapsed="false">
      <c r="A173" s="7" t="s">
        <v>1454</v>
      </c>
      <c r="B173" s="7" t="s">
        <v>1455</v>
      </c>
      <c r="C173" s="7" t="s">
        <v>1098</v>
      </c>
      <c r="D173" s="7" t="s">
        <v>686</v>
      </c>
      <c r="E173" s="7" t="s">
        <v>205</v>
      </c>
      <c r="F173" s="7" t="s">
        <v>217</v>
      </c>
      <c r="G173" s="12" t="n">
        <v>11455.66</v>
      </c>
      <c r="H173" s="12" t="n">
        <v>0</v>
      </c>
      <c r="I173" s="12" t="n">
        <f aca="false">ROUND(G173-H173, 2)</f>
        <v>11455.66</v>
      </c>
    </row>
    <row r="174" customFormat="false" ht="18.75" hidden="false" customHeight="true" outlineLevel="0" collapsed="false">
      <c r="A174" s="4" t="s">
        <v>1456</v>
      </c>
      <c r="B174" s="4" t="s">
        <v>1457</v>
      </c>
      <c r="C174" s="4" t="s">
        <v>1100</v>
      </c>
      <c r="D174" s="4" t="s">
        <v>689</v>
      </c>
      <c r="E174" s="4" t="s">
        <v>210</v>
      </c>
      <c r="F174" s="4" t="s">
        <v>217</v>
      </c>
      <c r="G174" s="10" t="n">
        <v>11702.17</v>
      </c>
      <c r="H174" s="10" t="n">
        <v>0</v>
      </c>
      <c r="I174" s="10" t="n">
        <f aca="false">ROUND(G174-H174, 2)</f>
        <v>11702.17</v>
      </c>
    </row>
    <row r="175" customFormat="false" ht="18.75" hidden="false" customHeight="true" outlineLevel="0" collapsed="false">
      <c r="A175" s="7" t="s">
        <v>1458</v>
      </c>
      <c r="B175" s="7" t="s">
        <v>1459</v>
      </c>
      <c r="C175" s="7" t="s">
        <v>1102</v>
      </c>
      <c r="D175" s="7" t="s">
        <v>692</v>
      </c>
      <c r="E175" s="7" t="s">
        <v>215</v>
      </c>
      <c r="F175" s="7" t="s">
        <v>234</v>
      </c>
      <c r="G175" s="12" t="n">
        <v>11777.59</v>
      </c>
      <c r="H175" s="12" t="n">
        <v>0</v>
      </c>
      <c r="I175" s="12" t="n">
        <f aca="false">ROUND(G175-H175, 2)</f>
        <v>11777.59</v>
      </c>
    </row>
    <row r="176" customFormat="false" ht="18.75" hidden="false" customHeight="true" outlineLevel="0" collapsed="false">
      <c r="A176" s="4" t="s">
        <v>1460</v>
      </c>
      <c r="B176" s="4" t="s">
        <v>1461</v>
      </c>
      <c r="C176" s="4" t="s">
        <v>1104</v>
      </c>
      <c r="D176" s="4" t="s">
        <v>695</v>
      </c>
      <c r="E176" s="4" t="s">
        <v>220</v>
      </c>
      <c r="F176" s="4" t="s">
        <v>234</v>
      </c>
      <c r="G176" s="10" t="n">
        <v>12056.69</v>
      </c>
      <c r="H176" s="10" t="n">
        <v>0</v>
      </c>
      <c r="I176" s="10" t="n">
        <f aca="false">ROUND(G176-H176, 2)</f>
        <v>12056.69</v>
      </c>
    </row>
    <row r="177" customFormat="false" ht="18.75" hidden="false" customHeight="true" outlineLevel="0" collapsed="false">
      <c r="A177" s="7" t="s">
        <v>1462</v>
      </c>
      <c r="B177" s="7" t="s">
        <v>1463</v>
      </c>
      <c r="C177" s="7" t="s">
        <v>1464</v>
      </c>
      <c r="D177" s="7" t="s">
        <v>1465</v>
      </c>
      <c r="E177" s="7" t="s">
        <v>99</v>
      </c>
      <c r="F177" s="7" t="s">
        <v>234</v>
      </c>
      <c r="G177" s="12" t="n">
        <v>12181.29</v>
      </c>
      <c r="H177" s="12" t="n">
        <v>0</v>
      </c>
      <c r="I177" s="12" t="n">
        <f aca="false">ROUND(G177-H177, 2)</f>
        <v>12181.29</v>
      </c>
    </row>
    <row r="178" customFormat="false" ht="18.75" hidden="false" customHeight="true" outlineLevel="0" collapsed="false">
      <c r="A178" s="4" t="s">
        <v>1466</v>
      </c>
      <c r="B178" s="4" t="s">
        <v>1467</v>
      </c>
      <c r="C178" s="4" t="s">
        <v>1468</v>
      </c>
      <c r="D178" s="4" t="s">
        <v>1469</v>
      </c>
      <c r="E178" s="4" t="s">
        <v>105</v>
      </c>
      <c r="F178" s="4" t="s">
        <v>234</v>
      </c>
      <c r="G178" s="10" t="n">
        <v>12411.05</v>
      </c>
      <c r="H178" s="10" t="n">
        <v>0</v>
      </c>
      <c r="I178" s="10" t="n">
        <f aca="false">ROUND(G178-H178, 2)</f>
        <v>12411.05</v>
      </c>
    </row>
    <row r="179" customFormat="false" ht="18.75" hidden="false" customHeight="true" outlineLevel="0" collapsed="false">
      <c r="A179" s="7" t="s">
        <v>1470</v>
      </c>
      <c r="B179" s="7" t="s">
        <v>1471</v>
      </c>
      <c r="C179" s="7" t="s">
        <v>1472</v>
      </c>
      <c r="D179" s="7" t="s">
        <v>1473</v>
      </c>
      <c r="E179" s="7" t="s">
        <v>110</v>
      </c>
      <c r="F179" s="7" t="s">
        <v>242</v>
      </c>
      <c r="G179" s="12" t="n">
        <v>12458.93</v>
      </c>
      <c r="H179" s="12" t="n">
        <v>0</v>
      </c>
      <c r="I179" s="12" t="n">
        <f aca="false">ROUND(G179-H179, 2)</f>
        <v>12458.93</v>
      </c>
    </row>
    <row r="180" customFormat="false" ht="18.75" hidden="false" customHeight="true" outlineLevel="0" collapsed="false">
      <c r="A180" s="4" t="s">
        <v>1474</v>
      </c>
      <c r="B180" s="4" t="s">
        <v>1475</v>
      </c>
      <c r="C180" s="4" t="s">
        <v>1476</v>
      </c>
      <c r="D180" s="4" t="s">
        <v>1477</v>
      </c>
      <c r="E180" s="4" t="s">
        <v>115</v>
      </c>
      <c r="F180" s="4" t="s">
        <v>246</v>
      </c>
      <c r="G180" s="10" t="n">
        <v>12697.76</v>
      </c>
      <c r="H180" s="10" t="n">
        <v>0</v>
      </c>
      <c r="I180" s="10" t="n">
        <f aca="false">ROUND(G180-H180, 2)</f>
        <v>12697.76</v>
      </c>
    </row>
    <row r="181" customFormat="false" ht="18.75" hidden="false" customHeight="true" outlineLevel="0" collapsed="false">
      <c r="A181" s="7" t="s">
        <v>1478</v>
      </c>
      <c r="B181" s="7" t="s">
        <v>1479</v>
      </c>
      <c r="C181" s="7" t="s">
        <v>1480</v>
      </c>
      <c r="D181" s="7" t="s">
        <v>1481</v>
      </c>
      <c r="E181" s="7" t="s">
        <v>120</v>
      </c>
      <c r="F181" s="7" t="s">
        <v>250</v>
      </c>
      <c r="G181" s="12" t="n">
        <v>12827.15</v>
      </c>
      <c r="H181" s="12" t="n">
        <v>0</v>
      </c>
      <c r="I181" s="12" t="n">
        <f aca="false">ROUND(G181-H181, 2)</f>
        <v>12827.15</v>
      </c>
    </row>
    <row r="182" customFormat="false" ht="18.75" hidden="false" customHeight="true" outlineLevel="0" collapsed="false">
      <c r="A182" s="4" t="s">
        <v>1482</v>
      </c>
      <c r="B182" s="4" t="s">
        <v>1483</v>
      </c>
      <c r="C182" s="4" t="s">
        <v>1484</v>
      </c>
      <c r="D182" s="4" t="s">
        <v>1485</v>
      </c>
      <c r="E182" s="4" t="s">
        <v>125</v>
      </c>
      <c r="F182" s="4" t="s">
        <v>262</v>
      </c>
      <c r="G182" s="10" t="n">
        <v>13012.64</v>
      </c>
      <c r="H182" s="10" t="n">
        <v>0</v>
      </c>
      <c r="I182" s="10" t="n">
        <f aca="false">ROUND(G182-H182, 2)</f>
        <v>13012.64</v>
      </c>
    </row>
    <row r="183" customFormat="false" ht="18.75" hidden="false" customHeight="true" outlineLevel="0" collapsed="false">
      <c r="A183" s="7" t="s">
        <v>1486</v>
      </c>
      <c r="B183" s="7" t="s">
        <v>1487</v>
      </c>
      <c r="C183" s="7" t="s">
        <v>1488</v>
      </c>
      <c r="D183" s="7" t="s">
        <v>1489</v>
      </c>
      <c r="E183" s="7" t="s">
        <v>130</v>
      </c>
      <c r="F183" s="7" t="s">
        <v>262</v>
      </c>
      <c r="G183" s="12" t="n">
        <v>13246.3</v>
      </c>
      <c r="H183" s="12" t="n">
        <v>0</v>
      </c>
      <c r="I183" s="12" t="n">
        <f aca="false">ROUND(G183-H183, 2)</f>
        <v>13246.3</v>
      </c>
    </row>
    <row r="184" customFormat="false" ht="18.75" hidden="false" customHeight="true" outlineLevel="0" collapsed="false">
      <c r="A184" s="4" t="s">
        <v>1490</v>
      </c>
      <c r="B184" s="4" t="s">
        <v>1491</v>
      </c>
      <c r="C184" s="4" t="s">
        <v>1492</v>
      </c>
      <c r="D184" s="4" t="s">
        <v>1493</v>
      </c>
      <c r="E184" s="4" t="s">
        <v>135</v>
      </c>
      <c r="F184" s="4" t="s">
        <v>266</v>
      </c>
      <c r="G184" s="10" t="n">
        <v>13268.11</v>
      </c>
      <c r="H184" s="10" t="n">
        <v>0</v>
      </c>
      <c r="I184" s="10" t="n">
        <f aca="false">ROUND(G184-H184, 2)</f>
        <v>13268.11</v>
      </c>
    </row>
    <row r="185" customFormat="false" ht="18.75" hidden="false" customHeight="true" outlineLevel="0" collapsed="false">
      <c r="A185" s="7" t="s">
        <v>1494</v>
      </c>
      <c r="B185" s="7" t="s">
        <v>1495</v>
      </c>
      <c r="C185" s="7" t="s">
        <v>1496</v>
      </c>
      <c r="D185" s="7" t="s">
        <v>1497</v>
      </c>
      <c r="E185" s="7" t="s">
        <v>140</v>
      </c>
      <c r="F185" s="7" t="s">
        <v>262</v>
      </c>
      <c r="G185" s="12" t="n">
        <v>13610.83</v>
      </c>
      <c r="H185" s="12" t="n">
        <v>0</v>
      </c>
      <c r="I185" s="12" t="n">
        <f aca="false">ROUND(G185-H185, 2)</f>
        <v>13610.83</v>
      </c>
    </row>
    <row r="186" customFormat="false" ht="18.75" hidden="false" customHeight="true" outlineLevel="0" collapsed="false">
      <c r="A186" s="4" t="s">
        <v>1498</v>
      </c>
      <c r="B186" s="4" t="s">
        <v>1499</v>
      </c>
      <c r="C186" s="4" t="s">
        <v>1500</v>
      </c>
      <c r="D186" s="4" t="s">
        <v>1501</v>
      </c>
      <c r="E186" s="4" t="s">
        <v>145</v>
      </c>
      <c r="F186" s="4" t="s">
        <v>270</v>
      </c>
      <c r="G186" s="10" t="n">
        <v>13656.23</v>
      </c>
      <c r="H186" s="10" t="n">
        <v>0</v>
      </c>
      <c r="I186" s="10" t="n">
        <f aca="false">ROUND(G186-H186, 2)</f>
        <v>13656.23</v>
      </c>
    </row>
    <row r="187" customFormat="false" ht="18.75" hidden="false" customHeight="true" outlineLevel="0" collapsed="false">
      <c r="A187" s="7" t="s">
        <v>1502</v>
      </c>
      <c r="B187" s="7" t="s">
        <v>1503</v>
      </c>
      <c r="C187" s="7" t="s">
        <v>1504</v>
      </c>
      <c r="D187" s="7" t="s">
        <v>1505</v>
      </c>
      <c r="E187" s="7" t="s">
        <v>150</v>
      </c>
      <c r="F187" s="7" t="s">
        <v>274</v>
      </c>
      <c r="G187" s="12" t="n">
        <v>13867.05</v>
      </c>
      <c r="H187" s="12" t="n">
        <v>0</v>
      </c>
      <c r="I187" s="12" t="n">
        <f aca="false">ROUND(G187-H187, 2)</f>
        <v>13867.05</v>
      </c>
    </row>
    <row r="188" customFormat="false" ht="18.75" hidden="false" customHeight="true" outlineLevel="0" collapsed="false">
      <c r="A188" s="4" t="s">
        <v>1506</v>
      </c>
      <c r="B188" s="4" t="s">
        <v>1507</v>
      </c>
      <c r="C188" s="4" t="s">
        <v>1508</v>
      </c>
      <c r="D188" s="4" t="s">
        <v>1509</v>
      </c>
      <c r="E188" s="4" t="s">
        <v>155</v>
      </c>
      <c r="F188" s="4" t="s">
        <v>274</v>
      </c>
      <c r="G188" s="10" t="n">
        <v>14078.51</v>
      </c>
      <c r="H188" s="10" t="n">
        <v>0</v>
      </c>
      <c r="I188" s="10" t="n">
        <f aca="false">ROUND(G188-H188, 2)</f>
        <v>14078.51</v>
      </c>
    </row>
    <row r="189" customFormat="false" ht="18.75" hidden="false" customHeight="true" outlineLevel="0" collapsed="false">
      <c r="A189" s="7" t="s">
        <v>1510</v>
      </c>
      <c r="B189" s="7" t="s">
        <v>1511</v>
      </c>
      <c r="C189" s="7" t="s">
        <v>1512</v>
      </c>
      <c r="D189" s="7" t="s">
        <v>1513</v>
      </c>
      <c r="E189" s="7" t="s">
        <v>160</v>
      </c>
      <c r="F189" s="7" t="s">
        <v>290</v>
      </c>
      <c r="G189" s="12" t="n">
        <v>14187.36</v>
      </c>
      <c r="H189" s="12" t="n">
        <v>0</v>
      </c>
      <c r="I189" s="12" t="n">
        <f aca="false">ROUND(G189-H189, 2)</f>
        <v>14187.36</v>
      </c>
    </row>
    <row r="190" customFormat="false" ht="18.75" hidden="false" customHeight="true" outlineLevel="0" collapsed="false">
      <c r="A190" s="4" t="s">
        <v>1514</v>
      </c>
      <c r="B190" s="4" t="s">
        <v>1515</v>
      </c>
      <c r="C190" s="4" t="s">
        <v>1516</v>
      </c>
      <c r="D190" s="4" t="s">
        <v>1517</v>
      </c>
      <c r="E190" s="4" t="s">
        <v>165</v>
      </c>
      <c r="F190" s="4" t="s">
        <v>290</v>
      </c>
      <c r="G190" s="10" t="n">
        <v>14427.8</v>
      </c>
      <c r="H190" s="10" t="n">
        <v>0</v>
      </c>
      <c r="I190" s="10" t="n">
        <f aca="false">ROUND(G190-H190, 2)</f>
        <v>14427.8</v>
      </c>
    </row>
    <row r="191" customFormat="false" ht="18.75" hidden="false" customHeight="true" outlineLevel="0" collapsed="false">
      <c r="A191" s="7" t="s">
        <v>1518</v>
      </c>
      <c r="B191" s="7" t="s">
        <v>1519</v>
      </c>
      <c r="C191" s="7" t="s">
        <v>1520</v>
      </c>
      <c r="D191" s="7" t="s">
        <v>1521</v>
      </c>
      <c r="E191" s="7" t="s">
        <v>170</v>
      </c>
      <c r="F191" s="7" t="s">
        <v>294</v>
      </c>
      <c r="G191" s="12" t="n">
        <v>14427.89</v>
      </c>
      <c r="H191" s="12" t="n">
        <v>0</v>
      </c>
      <c r="I191" s="12" t="n">
        <f aca="false">ROUND(G191-H191, 2)</f>
        <v>14427.89</v>
      </c>
    </row>
    <row r="192" customFormat="false" ht="18.75" hidden="false" customHeight="true" outlineLevel="0" collapsed="false">
      <c r="A192" s="4" t="s">
        <v>1522</v>
      </c>
      <c r="B192" s="4" t="s">
        <v>1523</v>
      </c>
      <c r="C192" s="4" t="s">
        <v>1524</v>
      </c>
      <c r="D192" s="4" t="s">
        <v>1525</v>
      </c>
      <c r="E192" s="4" t="s">
        <v>175</v>
      </c>
      <c r="F192" s="4" t="s">
        <v>294</v>
      </c>
      <c r="G192" s="10" t="n">
        <v>14784.23</v>
      </c>
      <c r="H192" s="10" t="n">
        <v>0</v>
      </c>
      <c r="I192" s="10" t="n">
        <f aca="false">ROUND(G192-H192, 2)</f>
        <v>14784.23</v>
      </c>
    </row>
    <row r="193" customFormat="false" ht="18.75" hidden="false" customHeight="true" outlineLevel="0" collapsed="false">
      <c r="A193" s="7" t="s">
        <v>1526</v>
      </c>
      <c r="B193" s="7" t="s">
        <v>1527</v>
      </c>
      <c r="C193" s="7" t="s">
        <v>1528</v>
      </c>
      <c r="D193" s="7" t="s">
        <v>1529</v>
      </c>
      <c r="E193" s="7" t="s">
        <v>180</v>
      </c>
      <c r="F193" s="7" t="s">
        <v>298</v>
      </c>
      <c r="G193" s="12" t="n">
        <v>14845.64</v>
      </c>
      <c r="H193" s="12" t="n">
        <v>0</v>
      </c>
      <c r="I193" s="12" t="n">
        <f aca="false">ROUND(G193-H193, 2)</f>
        <v>14845.64</v>
      </c>
    </row>
    <row r="194" customFormat="false" ht="18.75" hidden="false" customHeight="true" outlineLevel="0" collapsed="false">
      <c r="A194" s="4" t="s">
        <v>1530</v>
      </c>
      <c r="B194" s="4" t="s">
        <v>1531</v>
      </c>
      <c r="C194" s="4" t="s">
        <v>1532</v>
      </c>
      <c r="D194" s="4" t="s">
        <v>1533</v>
      </c>
      <c r="E194" s="4" t="s">
        <v>185</v>
      </c>
      <c r="F194" s="4" t="s">
        <v>302</v>
      </c>
      <c r="G194" s="10" t="n">
        <v>14968.75</v>
      </c>
      <c r="H194" s="10" t="n">
        <v>0</v>
      </c>
      <c r="I194" s="10" t="n">
        <f aca="false">ROUND(G194-H194, 2)</f>
        <v>14968.75</v>
      </c>
    </row>
    <row r="195" customFormat="false" ht="18.75" hidden="false" customHeight="true" outlineLevel="0" collapsed="false">
      <c r="A195" s="7" t="s">
        <v>1534</v>
      </c>
      <c r="B195" s="7" t="s">
        <v>1535</v>
      </c>
      <c r="C195" s="7" t="s">
        <v>1536</v>
      </c>
      <c r="D195" s="7" t="s">
        <v>1537</v>
      </c>
      <c r="E195" s="7" t="s">
        <v>190</v>
      </c>
      <c r="F195" s="7" t="s">
        <v>306</v>
      </c>
      <c r="G195" s="12" t="n">
        <v>15247.72</v>
      </c>
      <c r="H195" s="12" t="n">
        <v>0</v>
      </c>
      <c r="I195" s="12" t="n">
        <f aca="false">ROUND(G195-H195, 2)</f>
        <v>15247.72</v>
      </c>
    </row>
    <row r="196" customFormat="false" ht="18.75" hidden="false" customHeight="true" outlineLevel="0" collapsed="false">
      <c r="A196" s="4" t="s">
        <v>1538</v>
      </c>
      <c r="B196" s="4" t="s">
        <v>1539</v>
      </c>
      <c r="C196" s="4" t="s">
        <v>1540</v>
      </c>
      <c r="D196" s="4" t="s">
        <v>1541</v>
      </c>
      <c r="E196" s="4" t="s">
        <v>195</v>
      </c>
      <c r="F196" s="4" t="s">
        <v>306</v>
      </c>
      <c r="G196" s="10" t="n">
        <v>15427.4</v>
      </c>
      <c r="H196" s="10" t="n">
        <v>0</v>
      </c>
      <c r="I196" s="10" t="n">
        <f aca="false">ROUND(G196-H196, 2)</f>
        <v>15427.4</v>
      </c>
    </row>
    <row r="197" customFormat="false" ht="18.75" hidden="false" customHeight="true" outlineLevel="0" collapsed="false">
      <c r="A197" s="7" t="s">
        <v>1542</v>
      </c>
      <c r="B197" s="7" t="s">
        <v>1543</v>
      </c>
      <c r="C197" s="7" t="s">
        <v>1544</v>
      </c>
      <c r="D197" s="7" t="s">
        <v>1545</v>
      </c>
      <c r="E197" s="7" t="s">
        <v>200</v>
      </c>
      <c r="F197" s="7" t="s">
        <v>322</v>
      </c>
      <c r="G197" s="12" t="n">
        <v>15559.19</v>
      </c>
      <c r="H197" s="12" t="n">
        <v>0</v>
      </c>
      <c r="I197" s="12" t="n">
        <f aca="false">ROUND(G197-H197, 2)</f>
        <v>15559.19</v>
      </c>
    </row>
    <row r="198" customFormat="false" ht="18.75" hidden="false" customHeight="true" outlineLevel="0" collapsed="false">
      <c r="A198" s="4" t="s">
        <v>1546</v>
      </c>
      <c r="B198" s="4" t="s">
        <v>1547</v>
      </c>
      <c r="C198" s="4" t="s">
        <v>1548</v>
      </c>
      <c r="D198" s="4" t="s">
        <v>1549</v>
      </c>
      <c r="E198" s="4" t="s">
        <v>205</v>
      </c>
      <c r="F198" s="4" t="s">
        <v>322</v>
      </c>
      <c r="G198" s="10" t="n">
        <v>15670.21</v>
      </c>
      <c r="H198" s="10" t="n">
        <v>0</v>
      </c>
      <c r="I198" s="10" t="n">
        <f aca="false">ROUND(G198-H198, 2)</f>
        <v>15670.21</v>
      </c>
    </row>
    <row r="199" customFormat="false" ht="18.75" hidden="false" customHeight="true" outlineLevel="0" collapsed="false">
      <c r="A199" s="7" t="s">
        <v>1550</v>
      </c>
      <c r="B199" s="7" t="s">
        <v>1551</v>
      </c>
      <c r="C199" s="7" t="s">
        <v>1552</v>
      </c>
      <c r="D199" s="7" t="s">
        <v>1553</v>
      </c>
      <c r="E199" s="7" t="s">
        <v>210</v>
      </c>
      <c r="F199" s="7" t="s">
        <v>318</v>
      </c>
      <c r="G199" s="12" t="n">
        <v>15945.77</v>
      </c>
      <c r="H199" s="12" t="n">
        <v>0</v>
      </c>
      <c r="I199" s="12" t="n">
        <f aca="false">ROUND(G199-H199, 2)</f>
        <v>15945.77</v>
      </c>
    </row>
    <row r="200" customFormat="false" ht="18.75" hidden="false" customHeight="true" outlineLevel="0" collapsed="false">
      <c r="A200" s="4" t="s">
        <v>1554</v>
      </c>
      <c r="B200" s="4" t="s">
        <v>1555</v>
      </c>
      <c r="C200" s="4" t="s">
        <v>1556</v>
      </c>
      <c r="D200" s="4" t="s">
        <v>1557</v>
      </c>
      <c r="E200" s="4" t="s">
        <v>215</v>
      </c>
      <c r="F200" s="4" t="s">
        <v>851</v>
      </c>
      <c r="G200" s="10" t="n">
        <v>15988.02</v>
      </c>
      <c r="H200" s="10" t="n">
        <v>0</v>
      </c>
      <c r="I200" s="10" t="n">
        <f aca="false">ROUND(G200-H200, 2)</f>
        <v>15988.02</v>
      </c>
    </row>
    <row r="201" customFormat="false" ht="18.75" hidden="false" customHeight="true" outlineLevel="0" collapsed="false">
      <c r="A201" s="7" t="s">
        <v>1558</v>
      </c>
      <c r="B201" s="7" t="s">
        <v>1559</v>
      </c>
      <c r="C201" s="7" t="s">
        <v>1560</v>
      </c>
      <c r="D201" s="7" t="s">
        <v>1561</v>
      </c>
      <c r="E201" s="7" t="s">
        <v>220</v>
      </c>
      <c r="F201" s="7" t="s">
        <v>851</v>
      </c>
      <c r="G201" s="12" t="n">
        <v>16304.41</v>
      </c>
      <c r="H201" s="12" t="n">
        <v>0</v>
      </c>
      <c r="I201" s="12" t="n">
        <f aca="false">ROUND(G201-H201, 2)</f>
        <v>16304.41</v>
      </c>
    </row>
    <row r="202" customFormat="false" ht="21.75" hidden="false" customHeight="true" outlineLevel="0" collapsed="false">
      <c r="A202" s="14" t="s">
        <v>85</v>
      </c>
      <c r="B202" s="14" t="s">
        <v>86</v>
      </c>
      <c r="C202" s="14" t="s">
        <v>86</v>
      </c>
      <c r="D202" s="14" t="s">
        <v>86</v>
      </c>
      <c r="E202" s="14" t="s">
        <v>86</v>
      </c>
      <c r="F202" s="14" t="s">
        <v>86</v>
      </c>
      <c r="G202" s="16" t="n">
        <f aca="false">SUM(G2:G201)</f>
        <v>1753891.55</v>
      </c>
      <c r="H202" s="16" t="n">
        <f aca="false">SUM(H2:H201)</f>
        <v>0</v>
      </c>
      <c r="I202" s="16" t="n">
        <f aca="false">SUM(I2:I201)</f>
        <v>1753891.55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27"/>
    <col collapsed="false" customWidth="true" hidden="false" outlineLevel="0" max="7" min="7" style="0" width="26"/>
    <col collapsed="false" customWidth="true" hidden="false" outlineLevel="0" max="8" min="8" style="0" width="27"/>
    <col collapsed="false" customWidth="true" hidden="false" outlineLevel="0" max="9" min="9" style="0" width="26"/>
  </cols>
  <sheetData>
    <row r="1" customFormat="false" ht="24" hidden="false" customHeight="true" outlineLevel="0" collapsed="false">
      <c r="A1" s="1" t="s">
        <v>1562</v>
      </c>
      <c r="B1" s="1" t="s">
        <v>1563</v>
      </c>
      <c r="C1" s="1" t="s">
        <v>1564</v>
      </c>
      <c r="D1" s="1" t="s">
        <v>89</v>
      </c>
      <c r="E1" s="1" t="s">
        <v>1565</v>
      </c>
      <c r="F1" s="1" t="s">
        <v>1566</v>
      </c>
      <c r="G1" s="3" t="s">
        <v>1567</v>
      </c>
      <c r="H1" s="3" t="s">
        <v>1568</v>
      </c>
      <c r="I1" s="3" t="s">
        <v>1569</v>
      </c>
    </row>
    <row r="2" customFormat="false" ht="18.75" hidden="false" customHeight="true" outlineLevel="0" collapsed="false">
      <c r="A2" s="4" t="s">
        <v>1570</v>
      </c>
      <c r="B2" s="4" t="s">
        <v>1571</v>
      </c>
      <c r="C2" s="4" t="s">
        <v>1572</v>
      </c>
      <c r="D2" s="4" t="s">
        <v>125</v>
      </c>
      <c r="E2" s="4" t="s">
        <v>1573</v>
      </c>
      <c r="F2" s="4" t="s">
        <v>1574</v>
      </c>
      <c r="G2" s="10" t="n">
        <v>2426.47</v>
      </c>
      <c r="H2" s="10" t="n">
        <v>3639.71</v>
      </c>
      <c r="I2" s="10" t="n">
        <f aca="false">ROUND(H2-G2, 2)</f>
        <v>1213.24</v>
      </c>
    </row>
    <row r="3" customFormat="false" ht="18.75" hidden="false" customHeight="true" outlineLevel="0" collapsed="false">
      <c r="A3" s="7" t="s">
        <v>1575</v>
      </c>
      <c r="B3" s="7" t="s">
        <v>1576</v>
      </c>
      <c r="C3" s="7" t="s">
        <v>1577</v>
      </c>
      <c r="D3" s="7" t="s">
        <v>130</v>
      </c>
      <c r="E3" s="7" t="s">
        <v>1573</v>
      </c>
      <c r="F3" s="7" t="s">
        <v>1574</v>
      </c>
      <c r="G3" s="12" t="n">
        <v>2478.46</v>
      </c>
      <c r="H3" s="12" t="n">
        <v>3717.69</v>
      </c>
      <c r="I3" s="12" t="n">
        <f aca="false">ROUND(H3-G3, 2)</f>
        <v>1239.23</v>
      </c>
    </row>
    <row r="4" customFormat="false" ht="18.75" hidden="false" customHeight="true" outlineLevel="0" collapsed="false">
      <c r="A4" s="4" t="s">
        <v>1578</v>
      </c>
      <c r="B4" s="4" t="s">
        <v>1579</v>
      </c>
      <c r="C4" s="4" t="s">
        <v>1580</v>
      </c>
      <c r="D4" s="4" t="s">
        <v>135</v>
      </c>
      <c r="E4" s="4" t="s">
        <v>1573</v>
      </c>
      <c r="F4" s="4" t="s">
        <v>1574</v>
      </c>
      <c r="G4" s="10" t="n">
        <v>2530.45</v>
      </c>
      <c r="H4" s="10" t="n">
        <v>3795.67</v>
      </c>
      <c r="I4" s="10" t="n">
        <f aca="false">ROUND(H4-G4, 2)</f>
        <v>1265.22</v>
      </c>
    </row>
    <row r="5" customFormat="false" ht="18.75" hidden="false" customHeight="true" outlineLevel="0" collapsed="false">
      <c r="A5" s="7" t="s">
        <v>1581</v>
      </c>
      <c r="B5" s="7" t="s">
        <v>1582</v>
      </c>
      <c r="C5" s="7" t="s">
        <v>1583</v>
      </c>
      <c r="D5" s="7" t="s">
        <v>140</v>
      </c>
      <c r="E5" s="7" t="s">
        <v>1573</v>
      </c>
      <c r="F5" s="7" t="s">
        <v>1574</v>
      </c>
      <c r="G5" s="12" t="n">
        <v>2582.13</v>
      </c>
      <c r="H5" s="12" t="n">
        <v>3873.2</v>
      </c>
      <c r="I5" s="12" t="n">
        <f aca="false">ROUND(H5-G5, 2)</f>
        <v>1291.07</v>
      </c>
    </row>
    <row r="6" customFormat="false" ht="18.75" hidden="false" customHeight="true" outlineLevel="0" collapsed="false">
      <c r="A6" s="4" t="s">
        <v>1584</v>
      </c>
      <c r="B6" s="4" t="s">
        <v>1585</v>
      </c>
      <c r="C6" s="4" t="s">
        <v>1586</v>
      </c>
      <c r="D6" s="4" t="s">
        <v>145</v>
      </c>
      <c r="E6" s="4" t="s">
        <v>1573</v>
      </c>
      <c r="F6" s="4" t="s">
        <v>1574</v>
      </c>
      <c r="G6" s="10" t="n">
        <v>2634.12</v>
      </c>
      <c r="H6" s="10" t="n">
        <v>3951.18</v>
      </c>
      <c r="I6" s="10" t="n">
        <f aca="false">ROUND(H6-G6, 2)</f>
        <v>1317.06</v>
      </c>
    </row>
    <row r="7" customFormat="false" ht="18.75" hidden="false" customHeight="true" outlineLevel="0" collapsed="false">
      <c r="A7" s="7" t="s">
        <v>1587</v>
      </c>
      <c r="B7" s="7" t="s">
        <v>1588</v>
      </c>
      <c r="C7" s="7" t="s">
        <v>1589</v>
      </c>
      <c r="D7" s="7" t="s">
        <v>150</v>
      </c>
      <c r="E7" s="7" t="s">
        <v>1573</v>
      </c>
      <c r="F7" s="7" t="s">
        <v>1574</v>
      </c>
      <c r="G7" s="12" t="n">
        <v>2686.11</v>
      </c>
      <c r="H7" s="12" t="n">
        <v>4029.16</v>
      </c>
      <c r="I7" s="12" t="n">
        <f aca="false">ROUND(H7-G7, 2)</f>
        <v>1343.05</v>
      </c>
    </row>
    <row r="8" customFormat="false" ht="18.75" hidden="false" customHeight="true" outlineLevel="0" collapsed="false">
      <c r="A8" s="4" t="s">
        <v>1590</v>
      </c>
      <c r="B8" s="4" t="s">
        <v>1591</v>
      </c>
      <c r="C8" s="4" t="s">
        <v>1592</v>
      </c>
      <c r="D8" s="4" t="s">
        <v>155</v>
      </c>
      <c r="E8" s="4" t="s">
        <v>1573</v>
      </c>
      <c r="F8" s="4" t="s">
        <v>1574</v>
      </c>
      <c r="G8" s="10" t="n">
        <v>2738.09</v>
      </c>
      <c r="H8" s="10" t="n">
        <v>4107.14</v>
      </c>
      <c r="I8" s="10" t="n">
        <f aca="false">ROUND(H8-G8, 2)</f>
        <v>1369.05</v>
      </c>
    </row>
    <row r="9" customFormat="false" ht="18.75" hidden="false" customHeight="true" outlineLevel="0" collapsed="false">
      <c r="A9" s="7" t="s">
        <v>1593</v>
      </c>
      <c r="B9" s="7" t="s">
        <v>1594</v>
      </c>
      <c r="C9" s="7" t="s">
        <v>1595</v>
      </c>
      <c r="D9" s="7" t="s">
        <v>160</v>
      </c>
      <c r="E9" s="7" t="s">
        <v>1573</v>
      </c>
      <c r="F9" s="7" t="s">
        <v>1574</v>
      </c>
      <c r="G9" s="12" t="n">
        <v>2789.78</v>
      </c>
      <c r="H9" s="12" t="n">
        <v>4184.67</v>
      </c>
      <c r="I9" s="12" t="n">
        <f aca="false">ROUND(H9-G9, 2)</f>
        <v>1394.89</v>
      </c>
    </row>
    <row r="10" customFormat="false" ht="18.75" hidden="false" customHeight="true" outlineLevel="0" collapsed="false">
      <c r="A10" s="4" t="s">
        <v>1596</v>
      </c>
      <c r="B10" s="4" t="s">
        <v>1597</v>
      </c>
      <c r="C10" s="4" t="s">
        <v>1598</v>
      </c>
      <c r="D10" s="4" t="s">
        <v>165</v>
      </c>
      <c r="E10" s="4" t="s">
        <v>1573</v>
      </c>
      <c r="F10" s="4" t="s">
        <v>1574</v>
      </c>
      <c r="G10" s="10" t="n">
        <v>2841.77</v>
      </c>
      <c r="H10" s="10" t="n">
        <v>4262.65</v>
      </c>
      <c r="I10" s="10" t="n">
        <f aca="false">ROUND(H10-G10, 2)</f>
        <v>1420.88</v>
      </c>
    </row>
    <row r="11" customFormat="false" ht="18.75" hidden="false" customHeight="true" outlineLevel="0" collapsed="false">
      <c r="A11" s="7" t="s">
        <v>1599</v>
      </c>
      <c r="B11" s="7" t="s">
        <v>1600</v>
      </c>
      <c r="C11" s="7" t="s">
        <v>1601</v>
      </c>
      <c r="D11" s="7" t="s">
        <v>170</v>
      </c>
      <c r="E11" s="7" t="s">
        <v>1573</v>
      </c>
      <c r="F11" s="7" t="s">
        <v>1574</v>
      </c>
      <c r="G11" s="12" t="n">
        <v>2893.76</v>
      </c>
      <c r="H11" s="12" t="n">
        <v>4340.63</v>
      </c>
      <c r="I11" s="12" t="n">
        <f aca="false">ROUND(H11-G11, 2)</f>
        <v>1446.87</v>
      </c>
    </row>
    <row r="12" customFormat="false" ht="18.75" hidden="false" customHeight="true" outlineLevel="0" collapsed="false">
      <c r="A12" s="4" t="s">
        <v>1602</v>
      </c>
      <c r="B12" s="4" t="s">
        <v>1603</v>
      </c>
      <c r="C12" s="4" t="s">
        <v>1604</v>
      </c>
      <c r="D12" s="4" t="s">
        <v>175</v>
      </c>
      <c r="E12" s="4" t="s">
        <v>1573</v>
      </c>
      <c r="F12" s="4" t="s">
        <v>1574</v>
      </c>
      <c r="G12" s="10" t="n">
        <v>2945.44</v>
      </c>
      <c r="H12" s="10" t="n">
        <v>4418.16</v>
      </c>
      <c r="I12" s="10" t="n">
        <f aca="false">ROUND(H12-G12, 2)</f>
        <v>1472.72</v>
      </c>
    </row>
    <row r="13" customFormat="false" ht="18.75" hidden="false" customHeight="true" outlineLevel="0" collapsed="false">
      <c r="A13" s="7" t="s">
        <v>1605</v>
      </c>
      <c r="B13" s="7" t="s">
        <v>1606</v>
      </c>
      <c r="C13" s="7" t="s">
        <v>1607</v>
      </c>
      <c r="D13" s="7" t="s">
        <v>180</v>
      </c>
      <c r="E13" s="7" t="s">
        <v>1573</v>
      </c>
      <c r="F13" s="7" t="s">
        <v>1574</v>
      </c>
      <c r="G13" s="12" t="n">
        <v>2997.43</v>
      </c>
      <c r="H13" s="12" t="n">
        <v>4496.14</v>
      </c>
      <c r="I13" s="12" t="n">
        <f aca="false">ROUND(H13-G13, 2)</f>
        <v>1498.71</v>
      </c>
    </row>
    <row r="14" customFormat="false" ht="18.75" hidden="false" customHeight="true" outlineLevel="0" collapsed="false">
      <c r="A14" s="4" t="s">
        <v>1608</v>
      </c>
      <c r="B14" s="4" t="s">
        <v>1609</v>
      </c>
      <c r="C14" s="4" t="s">
        <v>1610</v>
      </c>
      <c r="D14" s="4" t="s">
        <v>185</v>
      </c>
      <c r="E14" s="4" t="s">
        <v>1573</v>
      </c>
      <c r="F14" s="4" t="s">
        <v>1574</v>
      </c>
      <c r="G14" s="10" t="n">
        <v>3049.42</v>
      </c>
      <c r="H14" s="10" t="n">
        <v>4574.12</v>
      </c>
      <c r="I14" s="10" t="n">
        <f aca="false">ROUND(H14-G14, 2)</f>
        <v>1524.7</v>
      </c>
    </row>
    <row r="15" customFormat="false" ht="18.75" hidden="false" customHeight="true" outlineLevel="0" collapsed="false">
      <c r="A15" s="7" t="s">
        <v>1611</v>
      </c>
      <c r="B15" s="7" t="s">
        <v>1612</v>
      </c>
      <c r="C15" s="7" t="s">
        <v>1613</v>
      </c>
      <c r="D15" s="7" t="s">
        <v>190</v>
      </c>
      <c r="E15" s="7" t="s">
        <v>1573</v>
      </c>
      <c r="F15" s="7" t="s">
        <v>1574</v>
      </c>
      <c r="G15" s="12" t="n">
        <v>3101.1</v>
      </c>
      <c r="H15" s="12" t="n">
        <v>4651.65</v>
      </c>
      <c r="I15" s="12" t="n">
        <f aca="false">ROUND(H15-G15, 2)</f>
        <v>1550.55</v>
      </c>
    </row>
    <row r="16" customFormat="false" ht="18.75" hidden="false" customHeight="true" outlineLevel="0" collapsed="false">
      <c r="A16" s="4" t="s">
        <v>1614</v>
      </c>
      <c r="B16" s="4" t="s">
        <v>1615</v>
      </c>
      <c r="C16" s="4" t="s">
        <v>1616</v>
      </c>
      <c r="D16" s="4" t="s">
        <v>195</v>
      </c>
      <c r="E16" s="4" t="s">
        <v>1573</v>
      </c>
      <c r="F16" s="4" t="s">
        <v>1574</v>
      </c>
      <c r="G16" s="10" t="n">
        <v>3153.09</v>
      </c>
      <c r="H16" s="10" t="n">
        <v>4729.64</v>
      </c>
      <c r="I16" s="10" t="n">
        <f aca="false">ROUND(H16-G16, 2)</f>
        <v>1576.55</v>
      </c>
    </row>
    <row r="17" customFormat="false" ht="18.75" hidden="false" customHeight="true" outlineLevel="0" collapsed="false">
      <c r="A17" s="7" t="s">
        <v>1617</v>
      </c>
      <c r="B17" s="7" t="s">
        <v>1618</v>
      </c>
      <c r="C17" s="7" t="s">
        <v>1619</v>
      </c>
      <c r="D17" s="7" t="s">
        <v>200</v>
      </c>
      <c r="E17" s="7" t="s">
        <v>1573</v>
      </c>
      <c r="F17" s="7" t="s">
        <v>1574</v>
      </c>
      <c r="G17" s="12" t="n">
        <v>3205.08</v>
      </c>
      <c r="H17" s="12" t="n">
        <v>4807.62</v>
      </c>
      <c r="I17" s="12" t="n">
        <f aca="false">ROUND(H17-G17, 2)</f>
        <v>1602.54</v>
      </c>
    </row>
    <row r="18" customFormat="false" ht="18.75" hidden="false" customHeight="true" outlineLevel="0" collapsed="false">
      <c r="A18" s="4" t="s">
        <v>1620</v>
      </c>
      <c r="B18" s="4" t="s">
        <v>1621</v>
      </c>
      <c r="C18" s="4" t="s">
        <v>1622</v>
      </c>
      <c r="D18" s="4" t="s">
        <v>205</v>
      </c>
      <c r="E18" s="4" t="s">
        <v>1573</v>
      </c>
      <c r="F18" s="4" t="s">
        <v>1574</v>
      </c>
      <c r="G18" s="10" t="n">
        <v>3257.06</v>
      </c>
      <c r="H18" s="10" t="n">
        <v>4885.6</v>
      </c>
      <c r="I18" s="10" t="n">
        <f aca="false">ROUND(H18-G18, 2)</f>
        <v>1628.54</v>
      </c>
    </row>
    <row r="19" customFormat="false" ht="18.75" hidden="false" customHeight="true" outlineLevel="0" collapsed="false">
      <c r="A19" s="7" t="s">
        <v>1623</v>
      </c>
      <c r="B19" s="7" t="s">
        <v>1624</v>
      </c>
      <c r="C19" s="7" t="s">
        <v>1625</v>
      </c>
      <c r="D19" s="7" t="s">
        <v>210</v>
      </c>
      <c r="E19" s="7" t="s">
        <v>1573</v>
      </c>
      <c r="F19" s="7" t="s">
        <v>1574</v>
      </c>
      <c r="G19" s="12" t="n">
        <v>3308.75</v>
      </c>
      <c r="H19" s="12" t="n">
        <v>4963.13</v>
      </c>
      <c r="I19" s="12" t="n">
        <f aca="false">ROUND(H19-G19, 2)</f>
        <v>1654.38</v>
      </c>
    </row>
    <row r="20" customFormat="false" ht="18.75" hidden="false" customHeight="true" outlineLevel="0" collapsed="false">
      <c r="A20" s="4" t="s">
        <v>1626</v>
      </c>
      <c r="B20" s="4" t="s">
        <v>1627</v>
      </c>
      <c r="C20" s="4" t="s">
        <v>1628</v>
      </c>
      <c r="D20" s="4" t="s">
        <v>215</v>
      </c>
      <c r="E20" s="4" t="s">
        <v>1573</v>
      </c>
      <c r="F20" s="4" t="s">
        <v>1574</v>
      </c>
      <c r="G20" s="10" t="n">
        <v>3360.74</v>
      </c>
      <c r="H20" s="10" t="n">
        <v>5041.11</v>
      </c>
      <c r="I20" s="10" t="n">
        <f aca="false">ROUND(H20-G20, 2)</f>
        <v>1680.37</v>
      </c>
    </row>
    <row r="21" customFormat="false" ht="18.75" hidden="false" customHeight="true" outlineLevel="0" collapsed="false">
      <c r="A21" s="7" t="s">
        <v>1629</v>
      </c>
      <c r="B21" s="7" t="s">
        <v>1630</v>
      </c>
      <c r="C21" s="7" t="s">
        <v>1631</v>
      </c>
      <c r="D21" s="7" t="s">
        <v>220</v>
      </c>
      <c r="E21" s="7" t="s">
        <v>1573</v>
      </c>
      <c r="F21" s="7" t="s">
        <v>1574</v>
      </c>
      <c r="G21" s="12" t="n">
        <v>3412.73</v>
      </c>
      <c r="H21" s="12" t="n">
        <v>5119.09</v>
      </c>
      <c r="I21" s="12" t="n">
        <f aca="false">ROUND(H21-G21, 2)</f>
        <v>1706.36</v>
      </c>
    </row>
    <row r="22" customFormat="false" ht="18.75" hidden="false" customHeight="true" outlineLevel="0" collapsed="false">
      <c r="A22" s="4" t="s">
        <v>1632</v>
      </c>
      <c r="B22" s="4" t="s">
        <v>1633</v>
      </c>
      <c r="C22" s="4" t="s">
        <v>1634</v>
      </c>
      <c r="D22" s="4" t="s">
        <v>99</v>
      </c>
      <c r="E22" s="4" t="s">
        <v>1573</v>
      </c>
      <c r="F22" s="4" t="s">
        <v>1574</v>
      </c>
      <c r="G22" s="10" t="n">
        <v>3464.41</v>
      </c>
      <c r="H22" s="10" t="n">
        <v>5196.62</v>
      </c>
      <c r="I22" s="10" t="n">
        <f aca="false">ROUND(H22-G22, 2)</f>
        <v>1732.21</v>
      </c>
    </row>
    <row r="23" customFormat="false" ht="18.75" hidden="false" customHeight="true" outlineLevel="0" collapsed="false">
      <c r="A23" s="7" t="s">
        <v>1635</v>
      </c>
      <c r="B23" s="7" t="s">
        <v>1636</v>
      </c>
      <c r="C23" s="7" t="s">
        <v>1637</v>
      </c>
      <c r="D23" s="7" t="s">
        <v>105</v>
      </c>
      <c r="E23" s="7" t="s">
        <v>1573</v>
      </c>
      <c r="F23" s="7" t="s">
        <v>1574</v>
      </c>
      <c r="G23" s="12" t="n">
        <v>3516.4</v>
      </c>
      <c r="H23" s="12" t="n">
        <v>5274.6</v>
      </c>
      <c r="I23" s="12" t="n">
        <f aca="false">ROUND(H23-G23, 2)</f>
        <v>1758.2</v>
      </c>
    </row>
    <row r="24" customFormat="false" ht="18.75" hidden="false" customHeight="true" outlineLevel="0" collapsed="false">
      <c r="A24" s="4" t="s">
        <v>1638</v>
      </c>
      <c r="B24" s="4" t="s">
        <v>1639</v>
      </c>
      <c r="C24" s="4" t="s">
        <v>1640</v>
      </c>
      <c r="D24" s="4" t="s">
        <v>110</v>
      </c>
      <c r="E24" s="4" t="s">
        <v>1573</v>
      </c>
      <c r="F24" s="4" t="s">
        <v>1574</v>
      </c>
      <c r="G24" s="10" t="n">
        <v>3568.39</v>
      </c>
      <c r="H24" s="10" t="n">
        <v>5352.58</v>
      </c>
      <c r="I24" s="10" t="n">
        <f aca="false">ROUND(H24-G24, 2)</f>
        <v>1784.19</v>
      </c>
    </row>
    <row r="25" customFormat="false" ht="18.75" hidden="false" customHeight="true" outlineLevel="0" collapsed="false">
      <c r="A25" s="7" t="s">
        <v>1641</v>
      </c>
      <c r="B25" s="7" t="s">
        <v>1642</v>
      </c>
      <c r="C25" s="7" t="s">
        <v>1643</v>
      </c>
      <c r="D25" s="7" t="s">
        <v>115</v>
      </c>
      <c r="E25" s="7" t="s">
        <v>1573</v>
      </c>
      <c r="F25" s="7" t="s">
        <v>1574</v>
      </c>
      <c r="G25" s="12" t="n">
        <v>3620.37</v>
      </c>
      <c r="H25" s="12" t="n">
        <v>5430.56</v>
      </c>
      <c r="I25" s="12" t="n">
        <f aca="false">ROUND(H25-G25, 2)</f>
        <v>1810.19</v>
      </c>
    </row>
    <row r="26" customFormat="false" ht="18.75" hidden="false" customHeight="true" outlineLevel="0" collapsed="false">
      <c r="A26" s="4" t="s">
        <v>1644</v>
      </c>
      <c r="B26" s="4" t="s">
        <v>1645</v>
      </c>
      <c r="C26" s="4" t="s">
        <v>1646</v>
      </c>
      <c r="D26" s="4" t="s">
        <v>120</v>
      </c>
      <c r="E26" s="4" t="s">
        <v>1573</v>
      </c>
      <c r="F26" s="4" t="s">
        <v>1574</v>
      </c>
      <c r="G26" s="10" t="n">
        <v>3672.06</v>
      </c>
      <c r="H26" s="10" t="n">
        <v>5508.09</v>
      </c>
      <c r="I26" s="10" t="n">
        <f aca="false">ROUND(H26-G26, 2)</f>
        <v>1836.03</v>
      </c>
    </row>
    <row r="27" customFormat="false" ht="18.75" hidden="false" customHeight="true" outlineLevel="0" collapsed="false">
      <c r="A27" s="7" t="s">
        <v>1647</v>
      </c>
      <c r="B27" s="7" t="s">
        <v>1648</v>
      </c>
      <c r="C27" s="7" t="s">
        <v>1649</v>
      </c>
      <c r="D27" s="7" t="s">
        <v>125</v>
      </c>
      <c r="E27" s="7" t="s">
        <v>1573</v>
      </c>
      <c r="F27" s="7" t="s">
        <v>1574</v>
      </c>
      <c r="G27" s="12" t="n">
        <v>3724.05</v>
      </c>
      <c r="H27" s="12" t="n">
        <v>5586.07</v>
      </c>
      <c r="I27" s="12" t="n">
        <f aca="false">ROUND(H27-G27, 2)</f>
        <v>1862.02</v>
      </c>
    </row>
    <row r="28" customFormat="false" ht="18.75" hidden="false" customHeight="true" outlineLevel="0" collapsed="false">
      <c r="A28" s="4" t="s">
        <v>1650</v>
      </c>
      <c r="B28" s="4" t="s">
        <v>1651</v>
      </c>
      <c r="C28" s="4" t="s">
        <v>1652</v>
      </c>
      <c r="D28" s="4" t="s">
        <v>130</v>
      </c>
      <c r="E28" s="4" t="s">
        <v>1573</v>
      </c>
      <c r="F28" s="4" t="s">
        <v>1574</v>
      </c>
      <c r="G28" s="10" t="n">
        <v>3776.03</v>
      </c>
      <c r="H28" s="10" t="n">
        <v>5664.05</v>
      </c>
      <c r="I28" s="10" t="n">
        <f aca="false">ROUND(H28-G28, 2)</f>
        <v>1888.02</v>
      </c>
    </row>
    <row r="29" customFormat="false" ht="18.75" hidden="false" customHeight="true" outlineLevel="0" collapsed="false">
      <c r="A29" s="7" t="s">
        <v>1653</v>
      </c>
      <c r="B29" s="7" t="s">
        <v>1654</v>
      </c>
      <c r="C29" s="7" t="s">
        <v>1655</v>
      </c>
      <c r="D29" s="7" t="s">
        <v>135</v>
      </c>
      <c r="E29" s="7" t="s">
        <v>1573</v>
      </c>
      <c r="F29" s="7" t="s">
        <v>1574</v>
      </c>
      <c r="G29" s="12" t="n">
        <v>3827.72</v>
      </c>
      <c r="H29" s="12" t="n">
        <v>5741.58</v>
      </c>
      <c r="I29" s="12" t="n">
        <f aca="false">ROUND(H29-G29, 2)</f>
        <v>1913.86</v>
      </c>
    </row>
    <row r="30" customFormat="false" ht="18.75" hidden="false" customHeight="true" outlineLevel="0" collapsed="false">
      <c r="A30" s="4" t="s">
        <v>1656</v>
      </c>
      <c r="B30" s="4" t="s">
        <v>1657</v>
      </c>
      <c r="C30" s="4" t="s">
        <v>1658</v>
      </c>
      <c r="D30" s="4" t="s">
        <v>140</v>
      </c>
      <c r="E30" s="4" t="s">
        <v>1573</v>
      </c>
      <c r="F30" s="4" t="s">
        <v>1574</v>
      </c>
      <c r="G30" s="10" t="n">
        <v>3879.71</v>
      </c>
      <c r="H30" s="10" t="n">
        <v>5819.56</v>
      </c>
      <c r="I30" s="10" t="n">
        <f aca="false">ROUND(H30-G30, 2)</f>
        <v>1939.85</v>
      </c>
    </row>
    <row r="31" customFormat="false" ht="18.75" hidden="false" customHeight="true" outlineLevel="0" collapsed="false">
      <c r="A31" s="7" t="s">
        <v>1659</v>
      </c>
      <c r="B31" s="7" t="s">
        <v>1660</v>
      </c>
      <c r="C31" s="7" t="s">
        <v>1661</v>
      </c>
      <c r="D31" s="7" t="s">
        <v>145</v>
      </c>
      <c r="E31" s="7" t="s">
        <v>1573</v>
      </c>
      <c r="F31" s="7" t="s">
        <v>1574</v>
      </c>
      <c r="G31" s="12" t="n">
        <v>3931.7</v>
      </c>
      <c r="H31" s="12" t="n">
        <v>5897.54</v>
      </c>
      <c r="I31" s="12" t="n">
        <f aca="false">ROUND(H31-G31, 2)</f>
        <v>1965.84</v>
      </c>
    </row>
    <row r="32" customFormat="false" ht="18.75" hidden="false" customHeight="true" outlineLevel="0" collapsed="false">
      <c r="A32" s="4" t="s">
        <v>1662</v>
      </c>
      <c r="B32" s="4" t="s">
        <v>1663</v>
      </c>
      <c r="C32" s="4" t="s">
        <v>1664</v>
      </c>
      <c r="D32" s="4" t="s">
        <v>150</v>
      </c>
      <c r="E32" s="4" t="s">
        <v>1573</v>
      </c>
      <c r="F32" s="4" t="s">
        <v>1574</v>
      </c>
      <c r="G32" s="10" t="n">
        <v>3983.68</v>
      </c>
      <c r="H32" s="10" t="n">
        <v>5975.52</v>
      </c>
      <c r="I32" s="10" t="n">
        <f aca="false">ROUND(H32-G32, 2)</f>
        <v>1991.84</v>
      </c>
    </row>
    <row r="33" customFormat="false" ht="18.75" hidden="false" customHeight="true" outlineLevel="0" collapsed="false">
      <c r="A33" s="7" t="s">
        <v>1665</v>
      </c>
      <c r="B33" s="7" t="s">
        <v>1666</v>
      </c>
      <c r="C33" s="7" t="s">
        <v>1667</v>
      </c>
      <c r="D33" s="7" t="s">
        <v>155</v>
      </c>
      <c r="E33" s="7" t="s">
        <v>1573</v>
      </c>
      <c r="F33" s="7" t="s">
        <v>1574</v>
      </c>
      <c r="G33" s="12" t="n">
        <v>4035.37</v>
      </c>
      <c r="H33" s="12" t="n">
        <v>6053.05</v>
      </c>
      <c r="I33" s="12" t="n">
        <f aca="false">ROUND(H33-G33, 2)</f>
        <v>2017.68</v>
      </c>
    </row>
    <row r="34" customFormat="false" ht="18.75" hidden="false" customHeight="true" outlineLevel="0" collapsed="false">
      <c r="A34" s="4" t="s">
        <v>1668</v>
      </c>
      <c r="B34" s="4" t="s">
        <v>1669</v>
      </c>
      <c r="C34" s="4" t="s">
        <v>1670</v>
      </c>
      <c r="D34" s="4" t="s">
        <v>160</v>
      </c>
      <c r="E34" s="4" t="s">
        <v>1573</v>
      </c>
      <c r="F34" s="4" t="s">
        <v>1574</v>
      </c>
      <c r="G34" s="10" t="n">
        <v>4087.36</v>
      </c>
      <c r="H34" s="10" t="n">
        <v>6131.03</v>
      </c>
      <c r="I34" s="10" t="n">
        <f aca="false">ROUND(H34-G34, 2)</f>
        <v>2043.67</v>
      </c>
    </row>
    <row r="35" customFormat="false" ht="18.75" hidden="false" customHeight="true" outlineLevel="0" collapsed="false">
      <c r="A35" s="7" t="s">
        <v>1671</v>
      </c>
      <c r="B35" s="7" t="s">
        <v>1672</v>
      </c>
      <c r="C35" s="7" t="s">
        <v>1673</v>
      </c>
      <c r="D35" s="7" t="s">
        <v>165</v>
      </c>
      <c r="E35" s="7" t="s">
        <v>1573</v>
      </c>
      <c r="F35" s="7" t="s">
        <v>1574</v>
      </c>
      <c r="G35" s="12" t="n">
        <v>4139.34</v>
      </c>
      <c r="H35" s="12" t="n">
        <v>6209.01</v>
      </c>
      <c r="I35" s="12" t="n">
        <f aca="false">ROUND(H35-G35, 2)</f>
        <v>2069.67</v>
      </c>
    </row>
    <row r="36" customFormat="false" ht="18.75" hidden="false" customHeight="true" outlineLevel="0" collapsed="false">
      <c r="A36" s="4" t="s">
        <v>1674</v>
      </c>
      <c r="B36" s="4" t="s">
        <v>1675</v>
      </c>
      <c r="C36" s="4" t="s">
        <v>1676</v>
      </c>
      <c r="D36" s="4" t="s">
        <v>170</v>
      </c>
      <c r="E36" s="4" t="s">
        <v>1573</v>
      </c>
      <c r="F36" s="4" t="s">
        <v>1574</v>
      </c>
      <c r="G36" s="10" t="n">
        <v>4191.03</v>
      </c>
      <c r="H36" s="10" t="n">
        <v>6286.55</v>
      </c>
      <c r="I36" s="10" t="n">
        <f aca="false">ROUND(H36-G36, 2)</f>
        <v>2095.52</v>
      </c>
    </row>
    <row r="37" customFormat="false" ht="18.75" hidden="false" customHeight="true" outlineLevel="0" collapsed="false">
      <c r="A37" s="7" t="s">
        <v>1677</v>
      </c>
      <c r="B37" s="7" t="s">
        <v>1678</v>
      </c>
      <c r="C37" s="7" t="s">
        <v>1679</v>
      </c>
      <c r="D37" s="7" t="s">
        <v>175</v>
      </c>
      <c r="E37" s="7" t="s">
        <v>1573</v>
      </c>
      <c r="F37" s="7" t="s">
        <v>1574</v>
      </c>
      <c r="G37" s="12" t="n">
        <v>4243.02</v>
      </c>
      <c r="H37" s="12" t="n">
        <v>6364.53</v>
      </c>
      <c r="I37" s="12" t="n">
        <f aca="false">ROUND(H37-G37, 2)</f>
        <v>2121.51</v>
      </c>
    </row>
    <row r="38" customFormat="false" ht="18.75" hidden="false" customHeight="true" outlineLevel="0" collapsed="false">
      <c r="A38" s="4" t="s">
        <v>1680</v>
      </c>
      <c r="B38" s="4" t="s">
        <v>1681</v>
      </c>
      <c r="C38" s="4" t="s">
        <v>1682</v>
      </c>
      <c r="D38" s="4" t="s">
        <v>180</v>
      </c>
      <c r="E38" s="4" t="s">
        <v>1573</v>
      </c>
      <c r="F38" s="4" t="s">
        <v>1574</v>
      </c>
      <c r="G38" s="10" t="n">
        <v>4295</v>
      </c>
      <c r="H38" s="10" t="n">
        <v>6442.51</v>
      </c>
      <c r="I38" s="10" t="n">
        <f aca="false">ROUND(H38-G38, 2)</f>
        <v>2147.51</v>
      </c>
    </row>
    <row r="39" customFormat="false" ht="18.75" hidden="false" customHeight="true" outlineLevel="0" collapsed="false">
      <c r="A39" s="7" t="s">
        <v>1683</v>
      </c>
      <c r="B39" s="7" t="s">
        <v>1684</v>
      </c>
      <c r="C39" s="7" t="s">
        <v>1685</v>
      </c>
      <c r="D39" s="7" t="s">
        <v>185</v>
      </c>
      <c r="E39" s="7" t="s">
        <v>1573</v>
      </c>
      <c r="F39" s="7" t="s">
        <v>1574</v>
      </c>
      <c r="G39" s="12" t="n">
        <v>4346.99</v>
      </c>
      <c r="H39" s="12" t="n">
        <v>6520.49</v>
      </c>
      <c r="I39" s="12" t="n">
        <f aca="false">ROUND(H39-G39, 2)</f>
        <v>2173.5</v>
      </c>
    </row>
    <row r="40" customFormat="false" ht="18.75" hidden="false" customHeight="true" outlineLevel="0" collapsed="false">
      <c r="A40" s="4" t="s">
        <v>1686</v>
      </c>
      <c r="B40" s="4" t="s">
        <v>1687</v>
      </c>
      <c r="C40" s="4" t="s">
        <v>1688</v>
      </c>
      <c r="D40" s="4" t="s">
        <v>190</v>
      </c>
      <c r="E40" s="4" t="s">
        <v>1573</v>
      </c>
      <c r="F40" s="4" t="s">
        <v>1574</v>
      </c>
      <c r="G40" s="10" t="n">
        <v>4398.68</v>
      </c>
      <c r="H40" s="10" t="n">
        <v>6598.02</v>
      </c>
      <c r="I40" s="10" t="n">
        <f aca="false">ROUND(H40-G40, 2)</f>
        <v>2199.34</v>
      </c>
    </row>
    <row r="41" customFormat="false" ht="18.75" hidden="false" customHeight="true" outlineLevel="0" collapsed="false">
      <c r="A41" s="7" t="s">
        <v>1689</v>
      </c>
      <c r="B41" s="7" t="s">
        <v>1690</v>
      </c>
      <c r="C41" s="7" t="s">
        <v>1691</v>
      </c>
      <c r="D41" s="7" t="s">
        <v>195</v>
      </c>
      <c r="E41" s="7" t="s">
        <v>1573</v>
      </c>
      <c r="F41" s="7" t="s">
        <v>1574</v>
      </c>
      <c r="G41" s="12" t="n">
        <v>4450.67</v>
      </c>
      <c r="H41" s="12" t="n">
        <v>6676</v>
      </c>
      <c r="I41" s="12" t="n">
        <f aca="false">ROUND(H41-G41, 2)</f>
        <v>2225.33</v>
      </c>
    </row>
    <row r="42" customFormat="false" ht="18.75" hidden="false" customHeight="true" outlineLevel="0" collapsed="false">
      <c r="A42" s="4" t="s">
        <v>1692</v>
      </c>
      <c r="B42" s="4" t="s">
        <v>1693</v>
      </c>
      <c r="C42" s="4" t="s">
        <v>1694</v>
      </c>
      <c r="D42" s="4" t="s">
        <v>200</v>
      </c>
      <c r="E42" s="4" t="s">
        <v>1695</v>
      </c>
      <c r="F42" s="4" t="s">
        <v>1696</v>
      </c>
      <c r="G42" s="10" t="n">
        <v>3752.21</v>
      </c>
      <c r="H42" s="10" t="n">
        <v>3752.21</v>
      </c>
      <c r="I42" s="10" t="n">
        <f aca="false">ROUND(H42-G42, 2)</f>
        <v>0</v>
      </c>
    </row>
    <row r="43" customFormat="false" ht="18.75" hidden="false" customHeight="true" outlineLevel="0" collapsed="false">
      <c r="A43" s="7" t="s">
        <v>1697</v>
      </c>
      <c r="B43" s="7" t="s">
        <v>1698</v>
      </c>
      <c r="C43" s="7" t="s">
        <v>1699</v>
      </c>
      <c r="D43" s="7" t="s">
        <v>205</v>
      </c>
      <c r="E43" s="7" t="s">
        <v>1695</v>
      </c>
      <c r="F43" s="7" t="s">
        <v>1696</v>
      </c>
      <c r="G43" s="12" t="n">
        <v>3795.28</v>
      </c>
      <c r="H43" s="12" t="n">
        <v>3795.28</v>
      </c>
      <c r="I43" s="12" t="n">
        <f aca="false">ROUND(H43-G43, 2)</f>
        <v>0</v>
      </c>
    </row>
    <row r="44" customFormat="false" ht="18.75" hidden="false" customHeight="true" outlineLevel="0" collapsed="false">
      <c r="A44" s="4" t="s">
        <v>1700</v>
      </c>
      <c r="B44" s="4" t="s">
        <v>1701</v>
      </c>
      <c r="C44" s="4" t="s">
        <v>1702</v>
      </c>
      <c r="D44" s="4" t="s">
        <v>210</v>
      </c>
      <c r="E44" s="4" t="s">
        <v>1695</v>
      </c>
      <c r="F44" s="4" t="s">
        <v>1696</v>
      </c>
      <c r="G44" s="10" t="n">
        <v>3838.61</v>
      </c>
      <c r="H44" s="10" t="n">
        <v>3838.61</v>
      </c>
      <c r="I44" s="10" t="n">
        <f aca="false">ROUND(H44-G44, 2)</f>
        <v>0</v>
      </c>
    </row>
    <row r="45" customFormat="false" ht="18.75" hidden="false" customHeight="true" outlineLevel="0" collapsed="false">
      <c r="A45" s="7" t="s">
        <v>1703</v>
      </c>
      <c r="B45" s="7" t="s">
        <v>1704</v>
      </c>
      <c r="C45" s="7" t="s">
        <v>1705</v>
      </c>
      <c r="D45" s="7" t="s">
        <v>215</v>
      </c>
      <c r="E45" s="7" t="s">
        <v>1695</v>
      </c>
      <c r="F45" s="7" t="s">
        <v>1696</v>
      </c>
      <c r="G45" s="12" t="n">
        <v>3881.93</v>
      </c>
      <c r="H45" s="12" t="n">
        <v>3881.93</v>
      </c>
      <c r="I45" s="12" t="n">
        <f aca="false">ROUND(H45-G45, 2)</f>
        <v>0</v>
      </c>
    </row>
    <row r="46" customFormat="false" ht="18.75" hidden="false" customHeight="true" outlineLevel="0" collapsed="false">
      <c r="A46" s="4" t="s">
        <v>1706</v>
      </c>
      <c r="B46" s="4" t="s">
        <v>1707</v>
      </c>
      <c r="C46" s="4" t="s">
        <v>1708</v>
      </c>
      <c r="D46" s="4" t="s">
        <v>220</v>
      </c>
      <c r="E46" s="4" t="s">
        <v>1695</v>
      </c>
      <c r="F46" s="4" t="s">
        <v>1696</v>
      </c>
      <c r="G46" s="10" t="n">
        <v>3925</v>
      </c>
      <c r="H46" s="10" t="n">
        <v>3925</v>
      </c>
      <c r="I46" s="10" t="n">
        <f aca="false">ROUND(H46-G46, 2)</f>
        <v>0</v>
      </c>
    </row>
    <row r="47" customFormat="false" ht="18.75" hidden="false" customHeight="true" outlineLevel="0" collapsed="false">
      <c r="A47" s="7" t="s">
        <v>1709</v>
      </c>
      <c r="B47" s="7" t="s">
        <v>1710</v>
      </c>
      <c r="C47" s="7" t="s">
        <v>1711</v>
      </c>
      <c r="D47" s="7" t="s">
        <v>99</v>
      </c>
      <c r="E47" s="7" t="s">
        <v>1695</v>
      </c>
      <c r="F47" s="7" t="s">
        <v>1696</v>
      </c>
      <c r="G47" s="12" t="n">
        <v>3968.32</v>
      </c>
      <c r="H47" s="12" t="n">
        <v>3968.32</v>
      </c>
      <c r="I47" s="12" t="n">
        <f aca="false">ROUND(H47-G47, 2)</f>
        <v>0</v>
      </c>
    </row>
    <row r="48" customFormat="false" ht="18.75" hidden="false" customHeight="true" outlineLevel="0" collapsed="false">
      <c r="A48" s="4" t="s">
        <v>1712</v>
      </c>
      <c r="B48" s="4" t="s">
        <v>1713</v>
      </c>
      <c r="C48" s="4" t="s">
        <v>1714</v>
      </c>
      <c r="D48" s="4" t="s">
        <v>105</v>
      </c>
      <c r="E48" s="4" t="s">
        <v>1695</v>
      </c>
      <c r="F48" s="4" t="s">
        <v>1696</v>
      </c>
      <c r="G48" s="10" t="n">
        <v>4011.65</v>
      </c>
      <c r="H48" s="10" t="n">
        <v>4011.65</v>
      </c>
      <c r="I48" s="10" t="n">
        <f aca="false">ROUND(H48-G48, 2)</f>
        <v>0</v>
      </c>
    </row>
    <row r="49" customFormat="false" ht="18.75" hidden="false" customHeight="true" outlineLevel="0" collapsed="false">
      <c r="A49" s="7" t="s">
        <v>1715</v>
      </c>
      <c r="B49" s="7" t="s">
        <v>1716</v>
      </c>
      <c r="C49" s="7" t="s">
        <v>1717</v>
      </c>
      <c r="D49" s="7" t="s">
        <v>110</v>
      </c>
      <c r="E49" s="7" t="s">
        <v>1695</v>
      </c>
      <c r="F49" s="7" t="s">
        <v>1696</v>
      </c>
      <c r="G49" s="12" t="n">
        <v>4054.97</v>
      </c>
      <c r="H49" s="12" t="n">
        <v>4054.97</v>
      </c>
      <c r="I49" s="12" t="n">
        <f aca="false">ROUND(H49-G49, 2)</f>
        <v>0</v>
      </c>
    </row>
    <row r="50" customFormat="false" ht="18.75" hidden="false" customHeight="true" outlineLevel="0" collapsed="false">
      <c r="A50" s="4" t="s">
        <v>1718</v>
      </c>
      <c r="B50" s="4" t="s">
        <v>1719</v>
      </c>
      <c r="C50" s="4" t="s">
        <v>1720</v>
      </c>
      <c r="D50" s="4" t="s">
        <v>115</v>
      </c>
      <c r="E50" s="4" t="s">
        <v>1695</v>
      </c>
      <c r="F50" s="4" t="s">
        <v>1696</v>
      </c>
      <c r="G50" s="10" t="n">
        <v>4098.04</v>
      </c>
      <c r="H50" s="10" t="n">
        <v>4098.04</v>
      </c>
      <c r="I50" s="10" t="n">
        <f aca="false">ROUND(H50-G50, 2)</f>
        <v>0</v>
      </c>
    </row>
    <row r="51" customFormat="false" ht="18.75" hidden="false" customHeight="true" outlineLevel="0" collapsed="false">
      <c r="A51" s="7" t="s">
        <v>1721</v>
      </c>
      <c r="B51" s="7" t="s">
        <v>1722</v>
      </c>
      <c r="C51" s="7" t="s">
        <v>1723</v>
      </c>
      <c r="D51" s="7" t="s">
        <v>120</v>
      </c>
      <c r="E51" s="7" t="s">
        <v>1695</v>
      </c>
      <c r="F51" s="7" t="s">
        <v>1696</v>
      </c>
      <c r="G51" s="12" t="n">
        <v>4141.36</v>
      </c>
      <c r="H51" s="12" t="n">
        <v>4141.36</v>
      </c>
      <c r="I51" s="12" t="n">
        <f aca="false">ROUND(H51-G51, 2)</f>
        <v>0</v>
      </c>
    </row>
    <row r="52" customFormat="false" ht="18.75" hidden="false" customHeight="true" outlineLevel="0" collapsed="false">
      <c r="A52" s="4" t="s">
        <v>1724</v>
      </c>
      <c r="B52" s="4" t="s">
        <v>1725</v>
      </c>
      <c r="C52" s="4" t="s">
        <v>1726</v>
      </c>
      <c r="D52" s="4" t="s">
        <v>125</v>
      </c>
      <c r="E52" s="4" t="s">
        <v>1695</v>
      </c>
      <c r="F52" s="4" t="s">
        <v>1696</v>
      </c>
      <c r="G52" s="10" t="n">
        <v>4184.69</v>
      </c>
      <c r="H52" s="10" t="n">
        <v>4184.69</v>
      </c>
      <c r="I52" s="10" t="n">
        <f aca="false">ROUND(H52-G52, 2)</f>
        <v>0</v>
      </c>
    </row>
    <row r="53" customFormat="false" ht="18.75" hidden="false" customHeight="true" outlineLevel="0" collapsed="false">
      <c r="A53" s="7" t="s">
        <v>1727</v>
      </c>
      <c r="B53" s="7" t="s">
        <v>1728</v>
      </c>
      <c r="C53" s="7" t="s">
        <v>1729</v>
      </c>
      <c r="D53" s="7" t="s">
        <v>130</v>
      </c>
      <c r="E53" s="7" t="s">
        <v>1695</v>
      </c>
      <c r="F53" s="7" t="s">
        <v>1696</v>
      </c>
      <c r="G53" s="12" t="n">
        <v>4227.76</v>
      </c>
      <c r="H53" s="12" t="n">
        <v>4227.76</v>
      </c>
      <c r="I53" s="12" t="n">
        <f aca="false">ROUND(H53-G53, 2)</f>
        <v>0</v>
      </c>
    </row>
    <row r="54" customFormat="false" ht="18.75" hidden="false" customHeight="true" outlineLevel="0" collapsed="false">
      <c r="A54" s="4" t="s">
        <v>1730</v>
      </c>
      <c r="B54" s="4" t="s">
        <v>1731</v>
      </c>
      <c r="C54" s="4" t="s">
        <v>1732</v>
      </c>
      <c r="D54" s="4" t="s">
        <v>135</v>
      </c>
      <c r="E54" s="4" t="s">
        <v>1695</v>
      </c>
      <c r="F54" s="4" t="s">
        <v>1696</v>
      </c>
      <c r="G54" s="10" t="n">
        <v>4271.08</v>
      </c>
      <c r="H54" s="10" t="n">
        <v>4271.08</v>
      </c>
      <c r="I54" s="10" t="n">
        <f aca="false">ROUND(H54-G54, 2)</f>
        <v>0</v>
      </c>
    </row>
    <row r="55" customFormat="false" ht="18.75" hidden="false" customHeight="true" outlineLevel="0" collapsed="false">
      <c r="A55" s="7" t="s">
        <v>1733</v>
      </c>
      <c r="B55" s="7" t="s">
        <v>1734</v>
      </c>
      <c r="C55" s="7" t="s">
        <v>1735</v>
      </c>
      <c r="D55" s="7" t="s">
        <v>140</v>
      </c>
      <c r="E55" s="7" t="s">
        <v>1695</v>
      </c>
      <c r="F55" s="7" t="s">
        <v>1696</v>
      </c>
      <c r="G55" s="12" t="n">
        <v>4314.4</v>
      </c>
      <c r="H55" s="12" t="n">
        <v>4314.4</v>
      </c>
      <c r="I55" s="12" t="n">
        <f aca="false">ROUND(H55-G55, 2)</f>
        <v>0</v>
      </c>
    </row>
    <row r="56" customFormat="false" ht="18.75" hidden="false" customHeight="true" outlineLevel="0" collapsed="false">
      <c r="A56" s="4" t="s">
        <v>1736</v>
      </c>
      <c r="B56" s="4" t="s">
        <v>1737</v>
      </c>
      <c r="C56" s="4" t="s">
        <v>1738</v>
      </c>
      <c r="D56" s="4" t="s">
        <v>145</v>
      </c>
      <c r="E56" s="4" t="s">
        <v>1695</v>
      </c>
      <c r="F56" s="4" t="s">
        <v>1696</v>
      </c>
      <c r="G56" s="10" t="n">
        <v>4357.73</v>
      </c>
      <c r="H56" s="10" t="n">
        <v>4357.73</v>
      </c>
      <c r="I56" s="10" t="n">
        <f aca="false">ROUND(H56-G56, 2)</f>
        <v>0</v>
      </c>
    </row>
    <row r="57" customFormat="false" ht="18.75" hidden="false" customHeight="true" outlineLevel="0" collapsed="false">
      <c r="A57" s="7" t="s">
        <v>1739</v>
      </c>
      <c r="B57" s="7" t="s">
        <v>1740</v>
      </c>
      <c r="C57" s="7" t="s">
        <v>1741</v>
      </c>
      <c r="D57" s="7" t="s">
        <v>150</v>
      </c>
      <c r="E57" s="7" t="s">
        <v>79</v>
      </c>
      <c r="F57" s="7" t="s">
        <v>1742</v>
      </c>
      <c r="G57" s="12" t="n">
        <v>4400.8</v>
      </c>
      <c r="H57" s="12" t="n">
        <v>0</v>
      </c>
      <c r="I57" s="12" t="n">
        <f aca="false">ROUND(H57-G57, 2)</f>
        <v>-4400.8</v>
      </c>
    </row>
    <row r="58" customFormat="false" ht="18.75" hidden="false" customHeight="true" outlineLevel="0" collapsed="false">
      <c r="A58" s="4" t="s">
        <v>1743</v>
      </c>
      <c r="B58" s="4" t="s">
        <v>1744</v>
      </c>
      <c r="C58" s="4" t="s">
        <v>1745</v>
      </c>
      <c r="D58" s="4" t="s">
        <v>155</v>
      </c>
      <c r="E58" s="4" t="s">
        <v>79</v>
      </c>
      <c r="F58" s="4" t="s">
        <v>1742</v>
      </c>
      <c r="G58" s="10" t="n">
        <v>4444.12</v>
      </c>
      <c r="H58" s="10" t="n">
        <v>0</v>
      </c>
      <c r="I58" s="10" t="n">
        <f aca="false">ROUND(H58-G58, 2)</f>
        <v>-4444.12</v>
      </c>
    </row>
    <row r="59" customFormat="false" ht="18.75" hidden="false" customHeight="true" outlineLevel="0" collapsed="false">
      <c r="A59" s="7" t="s">
        <v>1746</v>
      </c>
      <c r="B59" s="7" t="s">
        <v>1747</v>
      </c>
      <c r="C59" s="7" t="s">
        <v>1748</v>
      </c>
      <c r="D59" s="7" t="s">
        <v>160</v>
      </c>
      <c r="E59" s="7" t="s">
        <v>79</v>
      </c>
      <c r="F59" s="7" t="s">
        <v>1742</v>
      </c>
      <c r="G59" s="12" t="n">
        <v>4487.44</v>
      </c>
      <c r="H59" s="12" t="n">
        <v>0</v>
      </c>
      <c r="I59" s="12" t="n">
        <f aca="false">ROUND(H59-G59, 2)</f>
        <v>-4487.44</v>
      </c>
    </row>
    <row r="60" customFormat="false" ht="18.75" hidden="false" customHeight="true" outlineLevel="0" collapsed="false">
      <c r="A60" s="4" t="s">
        <v>1749</v>
      </c>
      <c r="B60" s="4" t="s">
        <v>1750</v>
      </c>
      <c r="C60" s="4" t="s">
        <v>1751</v>
      </c>
      <c r="D60" s="4" t="s">
        <v>165</v>
      </c>
      <c r="E60" s="4" t="s">
        <v>79</v>
      </c>
      <c r="F60" s="4" t="s">
        <v>1742</v>
      </c>
      <c r="G60" s="10" t="n">
        <v>4530.52</v>
      </c>
      <c r="H60" s="10" t="n">
        <v>0</v>
      </c>
      <c r="I60" s="10" t="n">
        <f aca="false">ROUND(H60-G60, 2)</f>
        <v>-4530.52</v>
      </c>
    </row>
    <row r="61" customFormat="false" ht="18.75" hidden="false" customHeight="true" outlineLevel="0" collapsed="false">
      <c r="A61" s="7" t="s">
        <v>1752</v>
      </c>
      <c r="B61" s="7" t="s">
        <v>1753</v>
      </c>
      <c r="C61" s="7" t="s">
        <v>1754</v>
      </c>
      <c r="D61" s="7" t="s">
        <v>170</v>
      </c>
      <c r="E61" s="7" t="s">
        <v>79</v>
      </c>
      <c r="F61" s="7" t="s">
        <v>1742</v>
      </c>
      <c r="G61" s="12" t="n">
        <v>4573.84</v>
      </c>
      <c r="H61" s="12" t="n">
        <v>0</v>
      </c>
      <c r="I61" s="12" t="n">
        <f aca="false">ROUND(H61-G61, 2)</f>
        <v>-4573.84</v>
      </c>
    </row>
    <row r="62" customFormat="false" ht="18.75" hidden="false" customHeight="true" outlineLevel="0" collapsed="false">
      <c r="A62" s="4" t="s">
        <v>1755</v>
      </c>
      <c r="B62" s="4" t="s">
        <v>1756</v>
      </c>
      <c r="C62" s="4" t="s">
        <v>1757</v>
      </c>
      <c r="D62" s="4" t="s">
        <v>175</v>
      </c>
      <c r="E62" s="4" t="s">
        <v>79</v>
      </c>
      <c r="F62" s="4" t="s">
        <v>1742</v>
      </c>
      <c r="G62" s="10" t="n">
        <v>4617.16</v>
      </c>
      <c r="H62" s="10" t="n">
        <v>0</v>
      </c>
      <c r="I62" s="10" t="n">
        <f aca="false">ROUND(H62-G62, 2)</f>
        <v>-4617.16</v>
      </c>
    </row>
    <row r="63" customFormat="false" ht="18.75" hidden="false" customHeight="true" outlineLevel="0" collapsed="false">
      <c r="A63" s="7" t="s">
        <v>1758</v>
      </c>
      <c r="B63" s="7" t="s">
        <v>1759</v>
      </c>
      <c r="C63" s="7" t="s">
        <v>1760</v>
      </c>
      <c r="D63" s="7" t="s">
        <v>180</v>
      </c>
      <c r="E63" s="7" t="s">
        <v>79</v>
      </c>
      <c r="F63" s="7" t="s">
        <v>1742</v>
      </c>
      <c r="G63" s="12" t="n">
        <v>97.98</v>
      </c>
      <c r="H63" s="12" t="n">
        <v>0</v>
      </c>
      <c r="I63" s="12" t="n">
        <f aca="false">ROUND(H63-G63, 2)</f>
        <v>-97.98</v>
      </c>
    </row>
    <row r="64" customFormat="false" ht="18.75" hidden="false" customHeight="true" outlineLevel="0" collapsed="false">
      <c r="A64" s="4" t="s">
        <v>1761</v>
      </c>
      <c r="B64" s="4" t="s">
        <v>1762</v>
      </c>
      <c r="C64" s="4" t="s">
        <v>1763</v>
      </c>
      <c r="D64" s="4" t="s">
        <v>185</v>
      </c>
      <c r="E64" s="4" t="s">
        <v>79</v>
      </c>
      <c r="F64" s="4" t="s">
        <v>1742</v>
      </c>
      <c r="G64" s="10" t="n">
        <v>141.06</v>
      </c>
      <c r="H64" s="10" t="n">
        <v>0</v>
      </c>
      <c r="I64" s="10" t="n">
        <f aca="false">ROUND(H64-G64, 2)</f>
        <v>-141.06</v>
      </c>
    </row>
    <row r="65" customFormat="false" ht="18.75" hidden="false" customHeight="true" outlineLevel="0" collapsed="false">
      <c r="A65" s="7" t="s">
        <v>1764</v>
      </c>
      <c r="B65" s="7" t="s">
        <v>1765</v>
      </c>
      <c r="C65" s="7" t="s">
        <v>1766</v>
      </c>
      <c r="D65" s="7" t="s">
        <v>190</v>
      </c>
      <c r="E65" s="7" t="s">
        <v>79</v>
      </c>
      <c r="F65" s="7" t="s">
        <v>1742</v>
      </c>
      <c r="G65" s="12" t="n">
        <v>184.38</v>
      </c>
      <c r="H65" s="12" t="n">
        <v>0</v>
      </c>
      <c r="I65" s="12" t="n">
        <f aca="false">ROUND(H65-G65, 2)</f>
        <v>-184.38</v>
      </c>
    </row>
    <row r="66" customFormat="false" ht="18.75" hidden="false" customHeight="true" outlineLevel="0" collapsed="false">
      <c r="A66" s="4" t="s">
        <v>1767</v>
      </c>
      <c r="B66" s="4" t="s">
        <v>1768</v>
      </c>
      <c r="C66" s="4" t="s">
        <v>1769</v>
      </c>
      <c r="D66" s="4" t="s">
        <v>195</v>
      </c>
      <c r="E66" s="4" t="s">
        <v>79</v>
      </c>
      <c r="F66" s="4" t="s">
        <v>1742</v>
      </c>
      <c r="G66" s="10" t="n">
        <v>227.7</v>
      </c>
      <c r="H66" s="10" t="n">
        <v>0</v>
      </c>
      <c r="I66" s="10" t="n">
        <f aca="false">ROUND(H66-G66, 2)</f>
        <v>-227.7</v>
      </c>
    </row>
    <row r="67" customFormat="false" ht="18.75" hidden="false" customHeight="true" outlineLevel="0" collapsed="false">
      <c r="A67" s="7" t="s">
        <v>1770</v>
      </c>
      <c r="B67" s="7" t="s">
        <v>1771</v>
      </c>
      <c r="C67" s="7" t="s">
        <v>1772</v>
      </c>
      <c r="D67" s="7" t="s">
        <v>200</v>
      </c>
      <c r="E67" s="7" t="s">
        <v>79</v>
      </c>
      <c r="F67" s="7" t="s">
        <v>1742</v>
      </c>
      <c r="G67" s="12" t="n">
        <v>270.77</v>
      </c>
      <c r="H67" s="12" t="n">
        <v>0</v>
      </c>
      <c r="I67" s="12" t="n">
        <f aca="false">ROUND(H67-G67, 2)</f>
        <v>-270.77</v>
      </c>
    </row>
    <row r="68" customFormat="false" ht="18.75" hidden="false" customHeight="true" outlineLevel="0" collapsed="false">
      <c r="A68" s="4" t="s">
        <v>1773</v>
      </c>
      <c r="B68" s="4" t="s">
        <v>1774</v>
      </c>
      <c r="C68" s="4" t="s">
        <v>1775</v>
      </c>
      <c r="D68" s="4" t="s">
        <v>205</v>
      </c>
      <c r="E68" s="4" t="s">
        <v>79</v>
      </c>
      <c r="F68" s="4" t="s">
        <v>1742</v>
      </c>
      <c r="G68" s="10" t="n">
        <v>314.1</v>
      </c>
      <c r="H68" s="10" t="n">
        <v>0</v>
      </c>
      <c r="I68" s="10" t="n">
        <f aca="false">ROUND(H68-G68, 2)</f>
        <v>-314.1</v>
      </c>
    </row>
    <row r="69" customFormat="false" ht="18.75" hidden="false" customHeight="true" outlineLevel="0" collapsed="false">
      <c r="A69" s="7" t="s">
        <v>1776</v>
      </c>
      <c r="B69" s="7" t="s">
        <v>1777</v>
      </c>
      <c r="C69" s="7" t="s">
        <v>1778</v>
      </c>
      <c r="D69" s="7" t="s">
        <v>210</v>
      </c>
      <c r="E69" s="7" t="s">
        <v>79</v>
      </c>
      <c r="F69" s="7" t="s">
        <v>1742</v>
      </c>
      <c r="G69" s="12" t="n">
        <v>357.42</v>
      </c>
      <c r="H69" s="12" t="n">
        <v>0</v>
      </c>
      <c r="I69" s="12" t="n">
        <f aca="false">ROUND(H69-G69, 2)</f>
        <v>-357.42</v>
      </c>
    </row>
    <row r="70" customFormat="false" ht="18.75" hidden="false" customHeight="true" outlineLevel="0" collapsed="false">
      <c r="A70" s="4" t="s">
        <v>1779</v>
      </c>
      <c r="B70" s="4" t="s">
        <v>1780</v>
      </c>
      <c r="C70" s="4" t="s">
        <v>1781</v>
      </c>
      <c r="D70" s="4" t="s">
        <v>215</v>
      </c>
      <c r="E70" s="4" t="s">
        <v>79</v>
      </c>
      <c r="F70" s="4" t="s">
        <v>1742</v>
      </c>
      <c r="G70" s="10" t="n">
        <v>400.74</v>
      </c>
      <c r="H70" s="10" t="n">
        <v>0</v>
      </c>
      <c r="I70" s="10" t="n">
        <f aca="false">ROUND(H70-G70, 2)</f>
        <v>-400.74</v>
      </c>
    </row>
    <row r="71" customFormat="false" ht="18.75" hidden="false" customHeight="true" outlineLevel="0" collapsed="false">
      <c r="A71" s="7" t="s">
        <v>1782</v>
      </c>
      <c r="B71" s="7" t="s">
        <v>1783</v>
      </c>
      <c r="C71" s="7" t="s">
        <v>1784</v>
      </c>
      <c r="D71" s="7" t="s">
        <v>220</v>
      </c>
      <c r="E71" s="7" t="s">
        <v>79</v>
      </c>
      <c r="F71" s="7" t="s">
        <v>1742</v>
      </c>
      <c r="G71" s="12" t="n">
        <v>443.81</v>
      </c>
      <c r="H71" s="12" t="n">
        <v>0</v>
      </c>
      <c r="I71" s="12" t="n">
        <f aca="false">ROUND(H71-G71, 2)</f>
        <v>-443.81</v>
      </c>
    </row>
    <row r="72" customFormat="false" ht="18.75" hidden="false" customHeight="true" outlineLevel="0" collapsed="false">
      <c r="A72" s="4" t="s">
        <v>1785</v>
      </c>
      <c r="B72" s="4" t="s">
        <v>398</v>
      </c>
      <c r="C72" s="4" t="s">
        <v>1786</v>
      </c>
      <c r="D72" s="4" t="s">
        <v>99</v>
      </c>
      <c r="E72" s="4" t="s">
        <v>1787</v>
      </c>
      <c r="F72" s="4" t="s">
        <v>1788</v>
      </c>
      <c r="G72" s="10" t="n">
        <v>2009.71</v>
      </c>
      <c r="H72" s="10" t="n">
        <v>2009.71</v>
      </c>
      <c r="I72" s="10" t="n">
        <f aca="false">ROUND(H72-G72, 2)</f>
        <v>0</v>
      </c>
    </row>
    <row r="73" customFormat="false" ht="18.75" hidden="false" customHeight="true" outlineLevel="0" collapsed="false">
      <c r="A73" s="7" t="s">
        <v>1789</v>
      </c>
      <c r="B73" s="7" t="s">
        <v>401</v>
      </c>
      <c r="C73" s="7" t="s">
        <v>1790</v>
      </c>
      <c r="D73" s="7" t="s">
        <v>105</v>
      </c>
      <c r="E73" s="7" t="s">
        <v>1787</v>
      </c>
      <c r="F73" s="7" t="s">
        <v>1788</v>
      </c>
      <c r="G73" s="12" t="n">
        <v>2035.7</v>
      </c>
      <c r="H73" s="12" t="n">
        <v>2035.7</v>
      </c>
      <c r="I73" s="12" t="n">
        <f aca="false">ROUND(H73-G73, 2)</f>
        <v>0</v>
      </c>
    </row>
    <row r="74" customFormat="false" ht="18.75" hidden="false" customHeight="true" outlineLevel="0" collapsed="false">
      <c r="A74" s="4" t="s">
        <v>1791</v>
      </c>
      <c r="B74" s="4" t="s">
        <v>404</v>
      </c>
      <c r="C74" s="4" t="s">
        <v>1792</v>
      </c>
      <c r="D74" s="4" t="s">
        <v>110</v>
      </c>
      <c r="E74" s="4" t="s">
        <v>1787</v>
      </c>
      <c r="F74" s="4" t="s">
        <v>1788</v>
      </c>
      <c r="G74" s="10" t="n">
        <v>2061.69</v>
      </c>
      <c r="H74" s="10" t="n">
        <v>2061.69</v>
      </c>
      <c r="I74" s="10" t="n">
        <f aca="false">ROUND(H74-G74, 2)</f>
        <v>0</v>
      </c>
    </row>
    <row r="75" customFormat="false" ht="18.75" hidden="false" customHeight="true" outlineLevel="0" collapsed="false">
      <c r="A75" s="7" t="s">
        <v>1793</v>
      </c>
      <c r="B75" s="7" t="s">
        <v>407</v>
      </c>
      <c r="C75" s="7" t="s">
        <v>1794</v>
      </c>
      <c r="D75" s="7" t="s">
        <v>115</v>
      </c>
      <c r="E75" s="7" t="s">
        <v>1787</v>
      </c>
      <c r="F75" s="7" t="s">
        <v>1788</v>
      </c>
      <c r="G75" s="12" t="n">
        <v>2087.69</v>
      </c>
      <c r="H75" s="12" t="n">
        <v>2087.69</v>
      </c>
      <c r="I75" s="12" t="n">
        <f aca="false">ROUND(H75-G75, 2)</f>
        <v>0</v>
      </c>
    </row>
    <row r="76" customFormat="false" ht="18.75" hidden="false" customHeight="true" outlineLevel="0" collapsed="false">
      <c r="A76" s="4" t="s">
        <v>1795</v>
      </c>
      <c r="B76" s="4" t="s">
        <v>410</v>
      </c>
      <c r="C76" s="4" t="s">
        <v>1796</v>
      </c>
      <c r="D76" s="4" t="s">
        <v>120</v>
      </c>
      <c r="E76" s="4" t="s">
        <v>1787</v>
      </c>
      <c r="F76" s="4" t="s">
        <v>1788</v>
      </c>
      <c r="G76" s="10" t="n">
        <v>2113.53</v>
      </c>
      <c r="H76" s="10" t="n">
        <v>2113.53</v>
      </c>
      <c r="I76" s="10" t="n">
        <f aca="false">ROUND(H76-G76, 2)</f>
        <v>0</v>
      </c>
    </row>
    <row r="77" customFormat="false" ht="18.75" hidden="false" customHeight="true" outlineLevel="0" collapsed="false">
      <c r="A77" s="7" t="s">
        <v>1797</v>
      </c>
      <c r="B77" s="7" t="s">
        <v>413</v>
      </c>
      <c r="C77" s="7" t="s">
        <v>1798</v>
      </c>
      <c r="D77" s="7" t="s">
        <v>125</v>
      </c>
      <c r="E77" s="7" t="s">
        <v>1787</v>
      </c>
      <c r="F77" s="7" t="s">
        <v>1788</v>
      </c>
      <c r="G77" s="12" t="n">
        <v>2139.52</v>
      </c>
      <c r="H77" s="12" t="n">
        <v>2139.52</v>
      </c>
      <c r="I77" s="12" t="n">
        <f aca="false">ROUND(H77-G77, 2)</f>
        <v>0</v>
      </c>
    </row>
    <row r="78" customFormat="false" ht="18.75" hidden="false" customHeight="true" outlineLevel="0" collapsed="false">
      <c r="A78" s="4" t="s">
        <v>1799</v>
      </c>
      <c r="B78" s="4" t="s">
        <v>416</v>
      </c>
      <c r="C78" s="4" t="s">
        <v>1800</v>
      </c>
      <c r="D78" s="4" t="s">
        <v>130</v>
      </c>
      <c r="E78" s="4" t="s">
        <v>1787</v>
      </c>
      <c r="F78" s="4" t="s">
        <v>1788</v>
      </c>
      <c r="G78" s="10" t="n">
        <v>2165.52</v>
      </c>
      <c r="H78" s="10" t="n">
        <v>2165.52</v>
      </c>
      <c r="I78" s="10" t="n">
        <f aca="false">ROUND(H78-G78, 2)</f>
        <v>0</v>
      </c>
    </row>
    <row r="79" customFormat="false" ht="18.75" hidden="false" customHeight="true" outlineLevel="0" collapsed="false">
      <c r="A79" s="7" t="s">
        <v>1801</v>
      </c>
      <c r="B79" s="7" t="s">
        <v>419</v>
      </c>
      <c r="C79" s="7" t="s">
        <v>1802</v>
      </c>
      <c r="D79" s="7" t="s">
        <v>135</v>
      </c>
      <c r="E79" s="7" t="s">
        <v>1787</v>
      </c>
      <c r="F79" s="7" t="s">
        <v>1788</v>
      </c>
      <c r="G79" s="12" t="n">
        <v>2191.36</v>
      </c>
      <c r="H79" s="12" t="n">
        <v>2191.36</v>
      </c>
      <c r="I79" s="12" t="n">
        <f aca="false">ROUND(H79-G79, 2)</f>
        <v>0</v>
      </c>
    </row>
    <row r="80" customFormat="false" ht="18.75" hidden="false" customHeight="true" outlineLevel="0" collapsed="false">
      <c r="A80" s="4" t="s">
        <v>1803</v>
      </c>
      <c r="B80" s="4" t="s">
        <v>422</v>
      </c>
      <c r="C80" s="4" t="s">
        <v>1804</v>
      </c>
      <c r="D80" s="4" t="s">
        <v>140</v>
      </c>
      <c r="E80" s="4" t="s">
        <v>1787</v>
      </c>
      <c r="F80" s="4" t="s">
        <v>1788</v>
      </c>
      <c r="G80" s="10" t="n">
        <v>2217.35</v>
      </c>
      <c r="H80" s="10" t="n">
        <v>2217.35</v>
      </c>
      <c r="I80" s="10" t="n">
        <f aca="false">ROUND(H80-G80, 2)</f>
        <v>0</v>
      </c>
    </row>
    <row r="81" customFormat="false" ht="18.75" hidden="false" customHeight="true" outlineLevel="0" collapsed="false">
      <c r="A81" s="7" t="s">
        <v>1805</v>
      </c>
      <c r="B81" s="7" t="s">
        <v>425</v>
      </c>
      <c r="C81" s="7" t="s">
        <v>1806</v>
      </c>
      <c r="D81" s="7" t="s">
        <v>145</v>
      </c>
      <c r="E81" s="7" t="s">
        <v>1787</v>
      </c>
      <c r="F81" s="7" t="s">
        <v>1788</v>
      </c>
      <c r="G81" s="12" t="n">
        <v>2243.35</v>
      </c>
      <c r="H81" s="12" t="n">
        <v>2243.35</v>
      </c>
      <c r="I81" s="12" t="n">
        <f aca="false">ROUND(H81-G81, 2)</f>
        <v>0</v>
      </c>
    </row>
    <row r="82" customFormat="false" ht="18.75" hidden="false" customHeight="true" outlineLevel="0" collapsed="false">
      <c r="A82" s="4" t="s">
        <v>1807</v>
      </c>
      <c r="B82" s="4" t="s">
        <v>428</v>
      </c>
      <c r="C82" s="4" t="s">
        <v>1808</v>
      </c>
      <c r="D82" s="4" t="s">
        <v>150</v>
      </c>
      <c r="E82" s="4" t="s">
        <v>1787</v>
      </c>
      <c r="F82" s="4" t="s">
        <v>1788</v>
      </c>
      <c r="G82" s="10" t="n">
        <v>2269.34</v>
      </c>
      <c r="H82" s="10" t="n">
        <v>2269.34</v>
      </c>
      <c r="I82" s="10" t="n">
        <f aca="false">ROUND(H82-G82, 2)</f>
        <v>0</v>
      </c>
    </row>
    <row r="83" customFormat="false" ht="18.75" hidden="false" customHeight="true" outlineLevel="0" collapsed="false">
      <c r="A83" s="7" t="s">
        <v>1809</v>
      </c>
      <c r="B83" s="7" t="s">
        <v>431</v>
      </c>
      <c r="C83" s="7" t="s">
        <v>1810</v>
      </c>
      <c r="D83" s="7" t="s">
        <v>155</v>
      </c>
      <c r="E83" s="7" t="s">
        <v>1787</v>
      </c>
      <c r="F83" s="7" t="s">
        <v>1788</v>
      </c>
      <c r="G83" s="12" t="n">
        <v>2295.18</v>
      </c>
      <c r="H83" s="12" t="n">
        <v>2295.18</v>
      </c>
      <c r="I83" s="12" t="n">
        <f aca="false">ROUND(H83-G83, 2)</f>
        <v>0</v>
      </c>
    </row>
    <row r="84" customFormat="false" ht="18.75" hidden="false" customHeight="true" outlineLevel="0" collapsed="false">
      <c r="A84" s="4" t="s">
        <v>1811</v>
      </c>
      <c r="B84" s="4" t="s">
        <v>434</v>
      </c>
      <c r="C84" s="4" t="s">
        <v>1812</v>
      </c>
      <c r="D84" s="4" t="s">
        <v>160</v>
      </c>
      <c r="E84" s="4" t="s">
        <v>1787</v>
      </c>
      <c r="F84" s="4" t="s">
        <v>1788</v>
      </c>
      <c r="G84" s="10" t="n">
        <v>2321.18</v>
      </c>
      <c r="H84" s="10" t="n">
        <v>2321.18</v>
      </c>
      <c r="I84" s="10" t="n">
        <f aca="false">ROUND(H84-G84, 2)</f>
        <v>0</v>
      </c>
    </row>
    <row r="85" customFormat="false" ht="18.75" hidden="false" customHeight="true" outlineLevel="0" collapsed="false">
      <c r="A85" s="7" t="s">
        <v>1813</v>
      </c>
      <c r="B85" s="7" t="s">
        <v>437</v>
      </c>
      <c r="C85" s="7" t="s">
        <v>1814</v>
      </c>
      <c r="D85" s="7" t="s">
        <v>165</v>
      </c>
      <c r="E85" s="7" t="s">
        <v>1787</v>
      </c>
      <c r="F85" s="7" t="s">
        <v>1788</v>
      </c>
      <c r="G85" s="12" t="n">
        <v>2347.17</v>
      </c>
      <c r="H85" s="12" t="n">
        <v>2347.17</v>
      </c>
      <c r="I85" s="12" t="n">
        <f aca="false">ROUND(H85-G85, 2)</f>
        <v>0</v>
      </c>
    </row>
    <row r="86" customFormat="false" ht="18.75" hidden="false" customHeight="true" outlineLevel="0" collapsed="false">
      <c r="A86" s="4" t="s">
        <v>1815</v>
      </c>
      <c r="B86" s="4" t="s">
        <v>440</v>
      </c>
      <c r="C86" s="4" t="s">
        <v>1816</v>
      </c>
      <c r="D86" s="4" t="s">
        <v>170</v>
      </c>
      <c r="E86" s="4" t="s">
        <v>1787</v>
      </c>
      <c r="F86" s="4" t="s">
        <v>1788</v>
      </c>
      <c r="G86" s="10" t="n">
        <v>2373.02</v>
      </c>
      <c r="H86" s="10" t="n">
        <v>2373.02</v>
      </c>
      <c r="I86" s="10" t="n">
        <f aca="false">ROUND(H86-G86, 2)</f>
        <v>0</v>
      </c>
    </row>
    <row r="87" customFormat="false" ht="18.75" hidden="false" customHeight="true" outlineLevel="0" collapsed="false">
      <c r="A87" s="7" t="s">
        <v>1817</v>
      </c>
      <c r="B87" s="7" t="s">
        <v>443</v>
      </c>
      <c r="C87" s="7" t="s">
        <v>1818</v>
      </c>
      <c r="D87" s="7" t="s">
        <v>175</v>
      </c>
      <c r="E87" s="7" t="s">
        <v>1787</v>
      </c>
      <c r="F87" s="7" t="s">
        <v>1788</v>
      </c>
      <c r="G87" s="12" t="n">
        <v>2399.01</v>
      </c>
      <c r="H87" s="12" t="n">
        <v>2399.01</v>
      </c>
      <c r="I87" s="12" t="n">
        <f aca="false">ROUND(H87-G87, 2)</f>
        <v>0</v>
      </c>
    </row>
    <row r="88" customFormat="false" ht="18.75" hidden="false" customHeight="true" outlineLevel="0" collapsed="false">
      <c r="A88" s="4" t="s">
        <v>1819</v>
      </c>
      <c r="B88" s="4" t="s">
        <v>446</v>
      </c>
      <c r="C88" s="4" t="s">
        <v>1820</v>
      </c>
      <c r="D88" s="4" t="s">
        <v>180</v>
      </c>
      <c r="E88" s="4" t="s">
        <v>1787</v>
      </c>
      <c r="F88" s="4" t="s">
        <v>1788</v>
      </c>
      <c r="G88" s="10" t="n">
        <v>2425</v>
      </c>
      <c r="H88" s="10" t="n">
        <v>2425</v>
      </c>
      <c r="I88" s="10" t="n">
        <f aca="false">ROUND(H88-G88, 2)</f>
        <v>0</v>
      </c>
    </row>
    <row r="89" customFormat="false" ht="18.75" hidden="false" customHeight="true" outlineLevel="0" collapsed="false">
      <c r="A89" s="7" t="s">
        <v>1821</v>
      </c>
      <c r="B89" s="7" t="s">
        <v>449</v>
      </c>
      <c r="C89" s="7" t="s">
        <v>1822</v>
      </c>
      <c r="D89" s="7" t="s">
        <v>185</v>
      </c>
      <c r="E89" s="7" t="s">
        <v>1787</v>
      </c>
      <c r="F89" s="7" t="s">
        <v>1788</v>
      </c>
      <c r="G89" s="12" t="n">
        <v>2451</v>
      </c>
      <c r="H89" s="12" t="n">
        <v>2451</v>
      </c>
      <c r="I89" s="12" t="n">
        <f aca="false">ROUND(H89-G89, 2)</f>
        <v>0</v>
      </c>
    </row>
    <row r="90" customFormat="false" ht="18.75" hidden="false" customHeight="true" outlineLevel="0" collapsed="false">
      <c r="A90" s="4" t="s">
        <v>1823</v>
      </c>
      <c r="B90" s="4" t="s">
        <v>452</v>
      </c>
      <c r="C90" s="4" t="s">
        <v>1824</v>
      </c>
      <c r="D90" s="4" t="s">
        <v>190</v>
      </c>
      <c r="E90" s="4" t="s">
        <v>1787</v>
      </c>
      <c r="F90" s="4" t="s">
        <v>1788</v>
      </c>
      <c r="G90" s="10" t="n">
        <v>2476.84</v>
      </c>
      <c r="H90" s="10" t="n">
        <v>2476.84</v>
      </c>
      <c r="I90" s="10" t="n">
        <f aca="false">ROUND(H90-G90, 2)</f>
        <v>0</v>
      </c>
    </row>
    <row r="91" customFormat="false" ht="18.75" hidden="false" customHeight="true" outlineLevel="0" collapsed="false">
      <c r="A91" s="7" t="s">
        <v>1825</v>
      </c>
      <c r="B91" s="7" t="s">
        <v>455</v>
      </c>
      <c r="C91" s="7" t="s">
        <v>1826</v>
      </c>
      <c r="D91" s="7" t="s">
        <v>195</v>
      </c>
      <c r="E91" s="7" t="s">
        <v>1787</v>
      </c>
      <c r="F91" s="7" t="s">
        <v>1788</v>
      </c>
      <c r="G91" s="12" t="n">
        <v>2502.83</v>
      </c>
      <c r="H91" s="12" t="n">
        <v>2502.83</v>
      </c>
      <c r="I91" s="12" t="n">
        <f aca="false">ROUND(H91-G91, 2)</f>
        <v>0</v>
      </c>
    </row>
    <row r="92" customFormat="false" ht="18.75" hidden="false" customHeight="true" outlineLevel="0" collapsed="false">
      <c r="A92" s="4" t="s">
        <v>1827</v>
      </c>
      <c r="B92" s="4" t="s">
        <v>458</v>
      </c>
      <c r="C92" s="4" t="s">
        <v>1828</v>
      </c>
      <c r="D92" s="4" t="s">
        <v>200</v>
      </c>
      <c r="E92" s="4" t="s">
        <v>1787</v>
      </c>
      <c r="F92" s="4" t="s">
        <v>1788</v>
      </c>
      <c r="G92" s="10" t="n">
        <v>2528.83</v>
      </c>
      <c r="H92" s="10" t="n">
        <v>2528.83</v>
      </c>
      <c r="I92" s="10" t="n">
        <f aca="false">ROUND(H92-G92, 2)</f>
        <v>0</v>
      </c>
    </row>
    <row r="93" customFormat="false" ht="18.75" hidden="false" customHeight="true" outlineLevel="0" collapsed="false">
      <c r="A93" s="7" t="s">
        <v>1829</v>
      </c>
      <c r="B93" s="7" t="s">
        <v>461</v>
      </c>
      <c r="C93" s="7" t="s">
        <v>1830</v>
      </c>
      <c r="D93" s="7" t="s">
        <v>205</v>
      </c>
      <c r="E93" s="7" t="s">
        <v>1787</v>
      </c>
      <c r="F93" s="7" t="s">
        <v>1788</v>
      </c>
      <c r="G93" s="12" t="n">
        <v>2554.67</v>
      </c>
      <c r="H93" s="12" t="n">
        <v>2554.67</v>
      </c>
      <c r="I93" s="12" t="n">
        <f aca="false">ROUND(H93-G93, 2)</f>
        <v>0</v>
      </c>
    </row>
    <row r="94" customFormat="false" ht="18.75" hidden="false" customHeight="true" outlineLevel="0" collapsed="false">
      <c r="A94" s="4" t="s">
        <v>1831</v>
      </c>
      <c r="B94" s="4" t="s">
        <v>464</v>
      </c>
      <c r="C94" s="4" t="s">
        <v>1832</v>
      </c>
      <c r="D94" s="4" t="s">
        <v>210</v>
      </c>
      <c r="E94" s="4" t="s">
        <v>1787</v>
      </c>
      <c r="F94" s="4" t="s">
        <v>1788</v>
      </c>
      <c r="G94" s="10" t="n">
        <v>2580.66</v>
      </c>
      <c r="H94" s="10" t="n">
        <v>2580.66</v>
      </c>
      <c r="I94" s="10" t="n">
        <f aca="false">ROUND(H94-G94, 2)</f>
        <v>0</v>
      </c>
    </row>
    <row r="95" customFormat="false" ht="18.75" hidden="false" customHeight="true" outlineLevel="0" collapsed="false">
      <c r="A95" s="7" t="s">
        <v>1833</v>
      </c>
      <c r="B95" s="7" t="s">
        <v>467</v>
      </c>
      <c r="C95" s="7" t="s">
        <v>1834</v>
      </c>
      <c r="D95" s="7" t="s">
        <v>215</v>
      </c>
      <c r="E95" s="7" t="s">
        <v>1787</v>
      </c>
      <c r="F95" s="7" t="s">
        <v>1788</v>
      </c>
      <c r="G95" s="12" t="n">
        <v>2606.66</v>
      </c>
      <c r="H95" s="12" t="n">
        <v>2606.66</v>
      </c>
      <c r="I95" s="12" t="n">
        <f aca="false">ROUND(H95-G95, 2)</f>
        <v>0</v>
      </c>
    </row>
    <row r="96" customFormat="false" ht="18.75" hidden="false" customHeight="true" outlineLevel="0" collapsed="false">
      <c r="A96" s="4" t="s">
        <v>1835</v>
      </c>
      <c r="B96" s="4" t="s">
        <v>470</v>
      </c>
      <c r="C96" s="4" t="s">
        <v>1836</v>
      </c>
      <c r="D96" s="4" t="s">
        <v>220</v>
      </c>
      <c r="E96" s="4" t="s">
        <v>1787</v>
      </c>
      <c r="F96" s="4" t="s">
        <v>1788</v>
      </c>
      <c r="G96" s="10" t="n">
        <v>2632.5</v>
      </c>
      <c r="H96" s="10" t="n">
        <v>2632.5</v>
      </c>
      <c r="I96" s="10" t="n">
        <f aca="false">ROUND(H96-G96, 2)</f>
        <v>0</v>
      </c>
    </row>
    <row r="97" customFormat="false" ht="18.75" hidden="false" customHeight="true" outlineLevel="0" collapsed="false">
      <c r="A97" s="7" t="s">
        <v>1837</v>
      </c>
      <c r="B97" s="7" t="s">
        <v>473</v>
      </c>
      <c r="C97" s="7" t="s">
        <v>1838</v>
      </c>
      <c r="D97" s="7" t="s">
        <v>99</v>
      </c>
      <c r="E97" s="7" t="s">
        <v>1787</v>
      </c>
      <c r="F97" s="7" t="s">
        <v>1788</v>
      </c>
      <c r="G97" s="12" t="n">
        <v>2658.49</v>
      </c>
      <c r="H97" s="12" t="n">
        <v>2658.49</v>
      </c>
      <c r="I97" s="12" t="n">
        <f aca="false">ROUND(H97-G97, 2)</f>
        <v>0</v>
      </c>
    </row>
    <row r="98" customFormat="false" ht="18.75" hidden="false" customHeight="true" outlineLevel="0" collapsed="false">
      <c r="A98" s="4" t="s">
        <v>1839</v>
      </c>
      <c r="B98" s="4" t="s">
        <v>476</v>
      </c>
      <c r="C98" s="4" t="s">
        <v>1840</v>
      </c>
      <c r="D98" s="4" t="s">
        <v>105</v>
      </c>
      <c r="E98" s="4" t="s">
        <v>1787</v>
      </c>
      <c r="F98" s="4" t="s">
        <v>1788</v>
      </c>
      <c r="G98" s="10" t="n">
        <v>2684.49</v>
      </c>
      <c r="H98" s="10" t="n">
        <v>2684.49</v>
      </c>
      <c r="I98" s="10" t="n">
        <f aca="false">ROUND(H98-G98, 2)</f>
        <v>0</v>
      </c>
    </row>
    <row r="99" customFormat="false" ht="18.75" hidden="false" customHeight="true" outlineLevel="0" collapsed="false">
      <c r="A99" s="7" t="s">
        <v>1841</v>
      </c>
      <c r="B99" s="7" t="s">
        <v>479</v>
      </c>
      <c r="C99" s="7" t="s">
        <v>1842</v>
      </c>
      <c r="D99" s="7" t="s">
        <v>110</v>
      </c>
      <c r="E99" s="7" t="s">
        <v>1787</v>
      </c>
      <c r="F99" s="7" t="s">
        <v>1788</v>
      </c>
      <c r="G99" s="12" t="n">
        <v>2710.48</v>
      </c>
      <c r="H99" s="12" t="n">
        <v>2710.48</v>
      </c>
      <c r="I99" s="12" t="n">
        <f aca="false">ROUND(H99-G99, 2)</f>
        <v>0</v>
      </c>
    </row>
    <row r="100" customFormat="false" ht="18.75" hidden="false" customHeight="true" outlineLevel="0" collapsed="false">
      <c r="A100" s="4" t="s">
        <v>1843</v>
      </c>
      <c r="B100" s="4" t="s">
        <v>482</v>
      </c>
      <c r="C100" s="4" t="s">
        <v>1844</v>
      </c>
      <c r="D100" s="4" t="s">
        <v>115</v>
      </c>
      <c r="E100" s="4" t="s">
        <v>1787</v>
      </c>
      <c r="F100" s="4" t="s">
        <v>1788</v>
      </c>
      <c r="G100" s="10" t="n">
        <v>2736.32</v>
      </c>
      <c r="H100" s="10" t="n">
        <v>2736.32</v>
      </c>
      <c r="I100" s="10" t="n">
        <f aca="false">ROUND(H100-G100, 2)</f>
        <v>0</v>
      </c>
    </row>
    <row r="101" customFormat="false" ht="18.75" hidden="false" customHeight="true" outlineLevel="0" collapsed="false">
      <c r="A101" s="7" t="s">
        <v>1845</v>
      </c>
      <c r="B101" s="7" t="s">
        <v>485</v>
      </c>
      <c r="C101" s="7" t="s">
        <v>1846</v>
      </c>
      <c r="D101" s="7" t="s">
        <v>120</v>
      </c>
      <c r="E101" s="7" t="s">
        <v>1787</v>
      </c>
      <c r="F101" s="7" t="s">
        <v>1788</v>
      </c>
      <c r="G101" s="12" t="n">
        <v>2762.32</v>
      </c>
      <c r="H101" s="12" t="n">
        <v>2762.32</v>
      </c>
      <c r="I101" s="12" t="n">
        <f aca="false">ROUND(H101-G101, 2)</f>
        <v>0</v>
      </c>
    </row>
    <row r="102" customFormat="false" ht="18.75" hidden="false" customHeight="true" outlineLevel="0" collapsed="false">
      <c r="A102" s="4" t="s">
        <v>1847</v>
      </c>
      <c r="B102" s="4" t="s">
        <v>488</v>
      </c>
      <c r="C102" s="4" t="s">
        <v>1848</v>
      </c>
      <c r="D102" s="4" t="s">
        <v>125</v>
      </c>
      <c r="E102" s="4" t="s">
        <v>1787</v>
      </c>
      <c r="F102" s="4" t="s">
        <v>1788</v>
      </c>
      <c r="G102" s="10" t="n">
        <v>50.81</v>
      </c>
      <c r="H102" s="10" t="n">
        <v>50.81</v>
      </c>
      <c r="I102" s="10" t="n">
        <f aca="false">ROUND(H102-G102, 2)</f>
        <v>0</v>
      </c>
    </row>
    <row r="103" customFormat="false" ht="18.75" hidden="false" customHeight="true" outlineLevel="0" collapsed="false">
      <c r="A103" s="7" t="s">
        <v>1849</v>
      </c>
      <c r="B103" s="7" t="s">
        <v>491</v>
      </c>
      <c r="C103" s="7" t="s">
        <v>1850</v>
      </c>
      <c r="D103" s="7" t="s">
        <v>130</v>
      </c>
      <c r="E103" s="7" t="s">
        <v>1787</v>
      </c>
      <c r="F103" s="7" t="s">
        <v>1788</v>
      </c>
      <c r="G103" s="12" t="n">
        <v>76.65</v>
      </c>
      <c r="H103" s="12" t="n">
        <v>76.65</v>
      </c>
      <c r="I103" s="12" t="n">
        <f aca="false">ROUND(H103-G103, 2)</f>
        <v>0</v>
      </c>
    </row>
    <row r="104" customFormat="false" ht="18.75" hidden="false" customHeight="true" outlineLevel="0" collapsed="false">
      <c r="A104" s="4" t="s">
        <v>1851</v>
      </c>
      <c r="B104" s="4" t="s">
        <v>494</v>
      </c>
      <c r="C104" s="4" t="s">
        <v>1852</v>
      </c>
      <c r="D104" s="4" t="s">
        <v>135</v>
      </c>
      <c r="E104" s="4" t="s">
        <v>1787</v>
      </c>
      <c r="F104" s="4" t="s">
        <v>1788</v>
      </c>
      <c r="G104" s="10" t="n">
        <v>102.65</v>
      </c>
      <c r="H104" s="10" t="n">
        <v>102.65</v>
      </c>
      <c r="I104" s="10" t="n">
        <f aca="false">ROUND(H104-G104, 2)</f>
        <v>0</v>
      </c>
    </row>
    <row r="105" customFormat="false" ht="18.75" hidden="false" customHeight="true" outlineLevel="0" collapsed="false">
      <c r="A105" s="7" t="s">
        <v>1853</v>
      </c>
      <c r="B105" s="7" t="s">
        <v>497</v>
      </c>
      <c r="C105" s="7" t="s">
        <v>1854</v>
      </c>
      <c r="D105" s="7" t="s">
        <v>140</v>
      </c>
      <c r="E105" s="7" t="s">
        <v>1787</v>
      </c>
      <c r="F105" s="7" t="s">
        <v>1788</v>
      </c>
      <c r="G105" s="12" t="n">
        <v>128.64</v>
      </c>
      <c r="H105" s="12" t="n">
        <v>128.64</v>
      </c>
      <c r="I105" s="12" t="n">
        <f aca="false">ROUND(H105-G105, 2)</f>
        <v>0</v>
      </c>
    </row>
    <row r="106" customFormat="false" ht="18.75" hidden="false" customHeight="true" outlineLevel="0" collapsed="false">
      <c r="A106" s="4" t="s">
        <v>1855</v>
      </c>
      <c r="B106" s="4" t="s">
        <v>500</v>
      </c>
      <c r="C106" s="4" t="s">
        <v>1856</v>
      </c>
      <c r="D106" s="4" t="s">
        <v>145</v>
      </c>
      <c r="E106" s="4" t="s">
        <v>1787</v>
      </c>
      <c r="F106" s="4" t="s">
        <v>1788</v>
      </c>
      <c r="G106" s="10" t="n">
        <v>154.64</v>
      </c>
      <c r="H106" s="10" t="n">
        <v>154.64</v>
      </c>
      <c r="I106" s="10" t="n">
        <f aca="false">ROUND(H106-G106, 2)</f>
        <v>0</v>
      </c>
    </row>
    <row r="107" customFormat="false" ht="18.75" hidden="false" customHeight="true" outlineLevel="0" collapsed="false">
      <c r="A107" s="7" t="s">
        <v>1857</v>
      </c>
      <c r="B107" s="7" t="s">
        <v>503</v>
      </c>
      <c r="C107" s="7" t="s">
        <v>1858</v>
      </c>
      <c r="D107" s="7" t="s">
        <v>150</v>
      </c>
      <c r="E107" s="7" t="s">
        <v>1787</v>
      </c>
      <c r="F107" s="7" t="s">
        <v>1788</v>
      </c>
      <c r="G107" s="12" t="n">
        <v>180.48</v>
      </c>
      <c r="H107" s="12" t="n">
        <v>180.48</v>
      </c>
      <c r="I107" s="12" t="n">
        <f aca="false">ROUND(H107-G107, 2)</f>
        <v>0</v>
      </c>
    </row>
    <row r="108" customFormat="false" ht="18.75" hidden="false" customHeight="true" outlineLevel="0" collapsed="false">
      <c r="A108" s="4" t="s">
        <v>1859</v>
      </c>
      <c r="B108" s="4" t="s">
        <v>506</v>
      </c>
      <c r="C108" s="4" t="s">
        <v>1860</v>
      </c>
      <c r="D108" s="4" t="s">
        <v>155</v>
      </c>
      <c r="E108" s="4" t="s">
        <v>1787</v>
      </c>
      <c r="F108" s="4" t="s">
        <v>1788</v>
      </c>
      <c r="G108" s="10" t="n">
        <v>206.47</v>
      </c>
      <c r="H108" s="10" t="n">
        <v>206.47</v>
      </c>
      <c r="I108" s="10" t="n">
        <f aca="false">ROUND(H108-G108, 2)</f>
        <v>0</v>
      </c>
    </row>
    <row r="109" customFormat="false" ht="18.75" hidden="false" customHeight="true" outlineLevel="0" collapsed="false">
      <c r="A109" s="7" t="s">
        <v>1861</v>
      </c>
      <c r="B109" s="7" t="s">
        <v>509</v>
      </c>
      <c r="C109" s="7" t="s">
        <v>1862</v>
      </c>
      <c r="D109" s="7" t="s">
        <v>160</v>
      </c>
      <c r="E109" s="7" t="s">
        <v>1787</v>
      </c>
      <c r="F109" s="7" t="s">
        <v>1788</v>
      </c>
      <c r="G109" s="12" t="n">
        <v>232.47</v>
      </c>
      <c r="H109" s="12" t="n">
        <v>232.47</v>
      </c>
      <c r="I109" s="12" t="n">
        <f aca="false">ROUND(H109-G109, 2)</f>
        <v>0</v>
      </c>
    </row>
    <row r="110" customFormat="false" ht="18.75" hidden="false" customHeight="true" outlineLevel="0" collapsed="false">
      <c r="A110" s="4" t="s">
        <v>1863</v>
      </c>
      <c r="B110" s="4" t="s">
        <v>512</v>
      </c>
      <c r="C110" s="4" t="s">
        <v>1864</v>
      </c>
      <c r="D110" s="4" t="s">
        <v>165</v>
      </c>
      <c r="E110" s="4" t="s">
        <v>1787</v>
      </c>
      <c r="F110" s="4" t="s">
        <v>1788</v>
      </c>
      <c r="G110" s="10" t="n">
        <v>258.31</v>
      </c>
      <c r="H110" s="10" t="n">
        <v>258.31</v>
      </c>
      <c r="I110" s="10" t="n">
        <f aca="false">ROUND(H110-G110, 2)</f>
        <v>0</v>
      </c>
    </row>
    <row r="111" customFormat="false" ht="18.75" hidden="false" customHeight="true" outlineLevel="0" collapsed="false">
      <c r="A111" s="7" t="s">
        <v>1865</v>
      </c>
      <c r="B111" s="7" t="s">
        <v>515</v>
      </c>
      <c r="C111" s="7" t="s">
        <v>1866</v>
      </c>
      <c r="D111" s="7" t="s">
        <v>170</v>
      </c>
      <c r="E111" s="7" t="s">
        <v>1787</v>
      </c>
      <c r="F111" s="7" t="s">
        <v>1788</v>
      </c>
      <c r="G111" s="12" t="n">
        <v>284.3</v>
      </c>
      <c r="H111" s="12" t="n">
        <v>284.3</v>
      </c>
      <c r="I111" s="12" t="n">
        <f aca="false">ROUND(H111-G111, 2)</f>
        <v>0</v>
      </c>
    </row>
    <row r="112" customFormat="false" ht="18.75" hidden="false" customHeight="true" outlineLevel="0" collapsed="false">
      <c r="A112" s="4" t="s">
        <v>1867</v>
      </c>
      <c r="B112" s="4" t="s">
        <v>518</v>
      </c>
      <c r="C112" s="4" t="s">
        <v>1868</v>
      </c>
      <c r="D112" s="4" t="s">
        <v>175</v>
      </c>
      <c r="E112" s="4" t="s">
        <v>1787</v>
      </c>
      <c r="F112" s="4" t="s">
        <v>1788</v>
      </c>
      <c r="G112" s="10" t="n">
        <v>310.3</v>
      </c>
      <c r="H112" s="10" t="n">
        <v>310.3</v>
      </c>
      <c r="I112" s="10" t="n">
        <f aca="false">ROUND(H112-G112, 2)</f>
        <v>0</v>
      </c>
    </row>
    <row r="113" customFormat="false" ht="18.75" hidden="false" customHeight="true" outlineLevel="0" collapsed="false">
      <c r="A113" s="7" t="s">
        <v>1869</v>
      </c>
      <c r="B113" s="7" t="s">
        <v>521</v>
      </c>
      <c r="C113" s="7" t="s">
        <v>1870</v>
      </c>
      <c r="D113" s="7" t="s">
        <v>180</v>
      </c>
      <c r="E113" s="7" t="s">
        <v>1787</v>
      </c>
      <c r="F113" s="7" t="s">
        <v>1788</v>
      </c>
      <c r="G113" s="12" t="n">
        <v>336.29</v>
      </c>
      <c r="H113" s="12" t="n">
        <v>336.29</v>
      </c>
      <c r="I113" s="12" t="n">
        <f aca="false">ROUND(H113-G113, 2)</f>
        <v>0</v>
      </c>
    </row>
    <row r="114" customFormat="false" ht="18.75" hidden="false" customHeight="true" outlineLevel="0" collapsed="false">
      <c r="A114" s="4" t="s">
        <v>1871</v>
      </c>
      <c r="B114" s="4" t="s">
        <v>524</v>
      </c>
      <c r="C114" s="4" t="s">
        <v>1872</v>
      </c>
      <c r="D114" s="4" t="s">
        <v>185</v>
      </c>
      <c r="E114" s="4" t="s">
        <v>1787</v>
      </c>
      <c r="F114" s="4" t="s">
        <v>1788</v>
      </c>
      <c r="G114" s="10" t="n">
        <v>362.13</v>
      </c>
      <c r="H114" s="10" t="n">
        <v>362.13</v>
      </c>
      <c r="I114" s="10" t="n">
        <f aca="false">ROUND(H114-G114, 2)</f>
        <v>0</v>
      </c>
    </row>
    <row r="115" customFormat="false" ht="18.75" hidden="false" customHeight="true" outlineLevel="0" collapsed="false">
      <c r="A115" s="7" t="s">
        <v>1873</v>
      </c>
      <c r="B115" s="7" t="s">
        <v>527</v>
      </c>
      <c r="C115" s="7" t="s">
        <v>1874</v>
      </c>
      <c r="D115" s="7" t="s">
        <v>190</v>
      </c>
      <c r="E115" s="7" t="s">
        <v>1787</v>
      </c>
      <c r="F115" s="7" t="s">
        <v>1788</v>
      </c>
      <c r="G115" s="12" t="n">
        <v>388.13</v>
      </c>
      <c r="H115" s="12" t="n">
        <v>388.13</v>
      </c>
      <c r="I115" s="12" t="n">
        <f aca="false">ROUND(H115-G115, 2)</f>
        <v>0</v>
      </c>
    </row>
    <row r="116" customFormat="false" ht="18.75" hidden="false" customHeight="true" outlineLevel="0" collapsed="false">
      <c r="A116" s="4" t="s">
        <v>1875</v>
      </c>
      <c r="B116" s="4" t="s">
        <v>530</v>
      </c>
      <c r="C116" s="4" t="s">
        <v>1876</v>
      </c>
      <c r="D116" s="4" t="s">
        <v>195</v>
      </c>
      <c r="E116" s="4" t="s">
        <v>1787</v>
      </c>
      <c r="F116" s="4" t="s">
        <v>1788</v>
      </c>
      <c r="G116" s="10" t="n">
        <v>414.12</v>
      </c>
      <c r="H116" s="10" t="n">
        <v>414.12</v>
      </c>
      <c r="I116" s="10" t="n">
        <f aca="false">ROUND(H116-G116, 2)</f>
        <v>0</v>
      </c>
    </row>
    <row r="117" customFormat="false" ht="18.75" hidden="false" customHeight="true" outlineLevel="0" collapsed="false">
      <c r="A117" s="7" t="s">
        <v>1877</v>
      </c>
      <c r="B117" s="7" t="s">
        <v>533</v>
      </c>
      <c r="C117" s="7" t="s">
        <v>1878</v>
      </c>
      <c r="D117" s="7" t="s">
        <v>200</v>
      </c>
      <c r="E117" s="7" t="s">
        <v>1787</v>
      </c>
      <c r="F117" s="7" t="s">
        <v>1788</v>
      </c>
      <c r="G117" s="12" t="n">
        <v>439.96</v>
      </c>
      <c r="H117" s="12" t="n">
        <v>439.96</v>
      </c>
      <c r="I117" s="12" t="n">
        <f aca="false">ROUND(H117-G117, 2)</f>
        <v>0</v>
      </c>
    </row>
    <row r="118" customFormat="false" ht="18.75" hidden="false" customHeight="true" outlineLevel="0" collapsed="false">
      <c r="A118" s="4" t="s">
        <v>1879</v>
      </c>
      <c r="B118" s="4" t="s">
        <v>536</v>
      </c>
      <c r="C118" s="4" t="s">
        <v>1880</v>
      </c>
      <c r="D118" s="4" t="s">
        <v>205</v>
      </c>
      <c r="E118" s="4" t="s">
        <v>1787</v>
      </c>
      <c r="F118" s="4" t="s">
        <v>1788</v>
      </c>
      <c r="G118" s="10" t="n">
        <v>465.96</v>
      </c>
      <c r="H118" s="10" t="n">
        <v>465.96</v>
      </c>
      <c r="I118" s="10" t="n">
        <f aca="false">ROUND(H118-G118, 2)</f>
        <v>0</v>
      </c>
    </row>
    <row r="119" customFormat="false" ht="18.75" hidden="false" customHeight="true" outlineLevel="0" collapsed="false">
      <c r="A119" s="7" t="s">
        <v>1881</v>
      </c>
      <c r="B119" s="7" t="s">
        <v>539</v>
      </c>
      <c r="C119" s="7" t="s">
        <v>1882</v>
      </c>
      <c r="D119" s="7" t="s">
        <v>210</v>
      </c>
      <c r="E119" s="7" t="s">
        <v>1787</v>
      </c>
      <c r="F119" s="7" t="s">
        <v>1788</v>
      </c>
      <c r="G119" s="12" t="n">
        <v>491.95</v>
      </c>
      <c r="H119" s="12" t="n">
        <v>491.95</v>
      </c>
      <c r="I119" s="12" t="n">
        <f aca="false">ROUND(H119-G119, 2)</f>
        <v>0</v>
      </c>
    </row>
    <row r="120" customFormat="false" ht="18.75" hidden="false" customHeight="true" outlineLevel="0" collapsed="false">
      <c r="A120" s="4" t="s">
        <v>1883</v>
      </c>
      <c r="B120" s="4" t="s">
        <v>542</v>
      </c>
      <c r="C120" s="4" t="s">
        <v>1884</v>
      </c>
      <c r="D120" s="4" t="s">
        <v>215</v>
      </c>
      <c r="E120" s="4" t="s">
        <v>1787</v>
      </c>
      <c r="F120" s="4" t="s">
        <v>1788</v>
      </c>
      <c r="G120" s="10" t="n">
        <v>517.94</v>
      </c>
      <c r="H120" s="10" t="n">
        <v>517.94</v>
      </c>
      <c r="I120" s="10" t="n">
        <f aca="false">ROUND(H120-G120, 2)</f>
        <v>0</v>
      </c>
    </row>
    <row r="121" customFormat="false" ht="18.75" hidden="false" customHeight="true" outlineLevel="0" collapsed="false">
      <c r="A121" s="7" t="s">
        <v>1885</v>
      </c>
      <c r="B121" s="7" t="s">
        <v>545</v>
      </c>
      <c r="C121" s="7" t="s">
        <v>1886</v>
      </c>
      <c r="D121" s="7" t="s">
        <v>220</v>
      </c>
      <c r="E121" s="7" t="s">
        <v>1787</v>
      </c>
      <c r="F121" s="7" t="s">
        <v>1788</v>
      </c>
      <c r="G121" s="12" t="n">
        <v>543.79</v>
      </c>
      <c r="H121" s="12" t="n">
        <v>543.79</v>
      </c>
      <c r="I121" s="12" t="n">
        <f aca="false">ROUND(H121-G121, 2)</f>
        <v>0</v>
      </c>
    </row>
    <row r="122" customFormat="false" ht="18.75" hidden="false" customHeight="true" outlineLevel="0" collapsed="false">
      <c r="A122" s="4" t="s">
        <v>1887</v>
      </c>
      <c r="B122" s="4" t="s">
        <v>548</v>
      </c>
      <c r="C122" s="4" t="s">
        <v>1888</v>
      </c>
      <c r="D122" s="4" t="s">
        <v>99</v>
      </c>
      <c r="E122" s="4" t="s">
        <v>1787</v>
      </c>
      <c r="F122" s="4" t="s">
        <v>1788</v>
      </c>
      <c r="G122" s="10" t="n">
        <v>569.78</v>
      </c>
      <c r="H122" s="10" t="n">
        <v>569.78</v>
      </c>
      <c r="I122" s="10" t="n">
        <f aca="false">ROUND(H122-G122, 2)</f>
        <v>0</v>
      </c>
    </row>
    <row r="123" customFormat="false" ht="18.75" hidden="false" customHeight="true" outlineLevel="0" collapsed="false">
      <c r="A123" s="7" t="s">
        <v>1889</v>
      </c>
      <c r="B123" s="7" t="s">
        <v>551</v>
      </c>
      <c r="C123" s="7" t="s">
        <v>1890</v>
      </c>
      <c r="D123" s="7" t="s">
        <v>105</v>
      </c>
      <c r="E123" s="7" t="s">
        <v>1787</v>
      </c>
      <c r="F123" s="7" t="s">
        <v>1788</v>
      </c>
      <c r="G123" s="12" t="n">
        <v>595.77</v>
      </c>
      <c r="H123" s="12" t="n">
        <v>595.77</v>
      </c>
      <c r="I123" s="12" t="n">
        <f aca="false">ROUND(H123-G123, 2)</f>
        <v>0</v>
      </c>
    </row>
    <row r="124" customFormat="false" ht="18.75" hidden="false" customHeight="true" outlineLevel="0" collapsed="false">
      <c r="A124" s="4" t="s">
        <v>1891</v>
      </c>
      <c r="B124" s="4" t="s">
        <v>554</v>
      </c>
      <c r="C124" s="4" t="s">
        <v>1892</v>
      </c>
      <c r="D124" s="4" t="s">
        <v>110</v>
      </c>
      <c r="E124" s="4" t="s">
        <v>1787</v>
      </c>
      <c r="F124" s="4" t="s">
        <v>1788</v>
      </c>
      <c r="G124" s="10" t="n">
        <v>621.62</v>
      </c>
      <c r="H124" s="10" t="n">
        <v>621.62</v>
      </c>
      <c r="I124" s="10" t="n">
        <f aca="false">ROUND(H124-G124, 2)</f>
        <v>0</v>
      </c>
    </row>
    <row r="125" customFormat="false" ht="18.75" hidden="false" customHeight="true" outlineLevel="0" collapsed="false">
      <c r="A125" s="7" t="s">
        <v>1893</v>
      </c>
      <c r="B125" s="7" t="s">
        <v>557</v>
      </c>
      <c r="C125" s="7" t="s">
        <v>1894</v>
      </c>
      <c r="D125" s="7" t="s">
        <v>115</v>
      </c>
      <c r="E125" s="7" t="s">
        <v>1787</v>
      </c>
      <c r="F125" s="7" t="s">
        <v>1788</v>
      </c>
      <c r="G125" s="12" t="n">
        <v>647.61</v>
      </c>
      <c r="H125" s="12" t="n">
        <v>647.61</v>
      </c>
      <c r="I125" s="12" t="n">
        <f aca="false">ROUND(H125-G125, 2)</f>
        <v>0</v>
      </c>
    </row>
    <row r="126" customFormat="false" ht="18.75" hidden="false" customHeight="true" outlineLevel="0" collapsed="false">
      <c r="A126" s="4" t="s">
        <v>1895</v>
      </c>
      <c r="B126" s="4" t="s">
        <v>560</v>
      </c>
      <c r="C126" s="4" t="s">
        <v>1896</v>
      </c>
      <c r="D126" s="4" t="s">
        <v>120</v>
      </c>
      <c r="E126" s="4" t="s">
        <v>1787</v>
      </c>
      <c r="F126" s="4" t="s">
        <v>1788</v>
      </c>
      <c r="G126" s="10" t="n">
        <v>673.61</v>
      </c>
      <c r="H126" s="10" t="n">
        <v>673.61</v>
      </c>
      <c r="I126" s="10" t="n">
        <f aca="false">ROUND(H126-G126, 2)</f>
        <v>0</v>
      </c>
    </row>
    <row r="127" customFormat="false" ht="18.75" hidden="false" customHeight="true" outlineLevel="0" collapsed="false">
      <c r="A127" s="7" t="s">
        <v>1897</v>
      </c>
      <c r="B127" s="7" t="s">
        <v>563</v>
      </c>
      <c r="C127" s="7" t="s">
        <v>1898</v>
      </c>
      <c r="D127" s="7" t="s">
        <v>125</v>
      </c>
      <c r="E127" s="7" t="s">
        <v>1787</v>
      </c>
      <c r="F127" s="7" t="s">
        <v>1788</v>
      </c>
      <c r="G127" s="12" t="n">
        <v>699.6</v>
      </c>
      <c r="H127" s="12" t="n">
        <v>699.6</v>
      </c>
      <c r="I127" s="12" t="n">
        <f aca="false">ROUND(H127-G127, 2)</f>
        <v>0</v>
      </c>
    </row>
    <row r="128" customFormat="false" ht="18.75" hidden="false" customHeight="true" outlineLevel="0" collapsed="false">
      <c r="A128" s="4" t="s">
        <v>1899</v>
      </c>
      <c r="B128" s="4" t="s">
        <v>566</v>
      </c>
      <c r="C128" s="4" t="s">
        <v>1900</v>
      </c>
      <c r="D128" s="4" t="s">
        <v>130</v>
      </c>
      <c r="E128" s="4" t="s">
        <v>1787</v>
      </c>
      <c r="F128" s="4" t="s">
        <v>1788</v>
      </c>
      <c r="G128" s="10" t="n">
        <v>725.44</v>
      </c>
      <c r="H128" s="10" t="n">
        <v>725.44</v>
      </c>
      <c r="I128" s="10" t="n">
        <f aca="false">ROUND(H128-G128, 2)</f>
        <v>0</v>
      </c>
    </row>
    <row r="129" customFormat="false" ht="18.75" hidden="false" customHeight="true" outlineLevel="0" collapsed="false">
      <c r="A129" s="7" t="s">
        <v>1901</v>
      </c>
      <c r="B129" s="7" t="s">
        <v>569</v>
      </c>
      <c r="C129" s="7" t="s">
        <v>1902</v>
      </c>
      <c r="D129" s="7" t="s">
        <v>135</v>
      </c>
      <c r="E129" s="7" t="s">
        <v>1787</v>
      </c>
      <c r="F129" s="7" t="s">
        <v>1788</v>
      </c>
      <c r="G129" s="12" t="n">
        <v>751.44</v>
      </c>
      <c r="H129" s="12" t="n">
        <v>751.44</v>
      </c>
      <c r="I129" s="12" t="n">
        <f aca="false">ROUND(H129-G129, 2)</f>
        <v>0</v>
      </c>
    </row>
    <row r="130" customFormat="false" ht="18.75" hidden="false" customHeight="true" outlineLevel="0" collapsed="false">
      <c r="A130" s="4" t="s">
        <v>1903</v>
      </c>
      <c r="B130" s="4" t="s">
        <v>572</v>
      </c>
      <c r="C130" s="4" t="s">
        <v>1904</v>
      </c>
      <c r="D130" s="4" t="s">
        <v>140</v>
      </c>
      <c r="E130" s="4" t="s">
        <v>1787</v>
      </c>
      <c r="F130" s="4" t="s">
        <v>1788</v>
      </c>
      <c r="G130" s="10" t="n">
        <v>777.43</v>
      </c>
      <c r="H130" s="10" t="n">
        <v>777.43</v>
      </c>
      <c r="I130" s="10" t="n">
        <f aca="false">ROUND(H130-G130, 2)</f>
        <v>0</v>
      </c>
    </row>
    <row r="131" customFormat="false" ht="18.75" hidden="false" customHeight="true" outlineLevel="0" collapsed="false">
      <c r="A131" s="7" t="s">
        <v>1905</v>
      </c>
      <c r="B131" s="7" t="s">
        <v>575</v>
      </c>
      <c r="C131" s="7" t="s">
        <v>1906</v>
      </c>
      <c r="D131" s="7" t="s">
        <v>145</v>
      </c>
      <c r="E131" s="7" t="s">
        <v>1787</v>
      </c>
      <c r="F131" s="7" t="s">
        <v>1788</v>
      </c>
      <c r="G131" s="12" t="n">
        <v>803.27</v>
      </c>
      <c r="H131" s="12" t="n">
        <v>803.27</v>
      </c>
      <c r="I131" s="12" t="n">
        <f aca="false">ROUND(H131-G131, 2)</f>
        <v>0</v>
      </c>
    </row>
    <row r="132" customFormat="false" ht="18.75" hidden="false" customHeight="true" outlineLevel="0" collapsed="false">
      <c r="A132" s="4" t="s">
        <v>1907</v>
      </c>
      <c r="B132" s="4" t="s">
        <v>578</v>
      </c>
      <c r="C132" s="4" t="s">
        <v>1908</v>
      </c>
      <c r="D132" s="4" t="s">
        <v>150</v>
      </c>
      <c r="E132" s="4" t="s">
        <v>1787</v>
      </c>
      <c r="F132" s="4" t="s">
        <v>1788</v>
      </c>
      <c r="G132" s="10" t="n">
        <v>829.27</v>
      </c>
      <c r="H132" s="10" t="n">
        <v>829.27</v>
      </c>
      <c r="I132" s="10" t="n">
        <f aca="false">ROUND(H132-G132, 2)</f>
        <v>0</v>
      </c>
    </row>
    <row r="133" customFormat="false" ht="18.75" hidden="false" customHeight="true" outlineLevel="0" collapsed="false">
      <c r="A133" s="7" t="s">
        <v>1909</v>
      </c>
      <c r="B133" s="7" t="s">
        <v>581</v>
      </c>
      <c r="C133" s="7" t="s">
        <v>1910</v>
      </c>
      <c r="D133" s="7" t="s">
        <v>155</v>
      </c>
      <c r="E133" s="7" t="s">
        <v>1787</v>
      </c>
      <c r="F133" s="7" t="s">
        <v>1788</v>
      </c>
      <c r="G133" s="12" t="n">
        <v>855.26</v>
      </c>
      <c r="H133" s="12" t="n">
        <v>855.26</v>
      </c>
      <c r="I133" s="12" t="n">
        <f aca="false">ROUND(H133-G133, 2)</f>
        <v>0</v>
      </c>
    </row>
    <row r="134" customFormat="false" ht="18.75" hidden="false" customHeight="true" outlineLevel="0" collapsed="false">
      <c r="A134" s="4" t="s">
        <v>1911</v>
      </c>
      <c r="B134" s="4" t="s">
        <v>584</v>
      </c>
      <c r="C134" s="4" t="s">
        <v>1912</v>
      </c>
      <c r="D134" s="4" t="s">
        <v>160</v>
      </c>
      <c r="E134" s="4" t="s">
        <v>1787</v>
      </c>
      <c r="F134" s="4" t="s">
        <v>1788</v>
      </c>
      <c r="G134" s="10" t="n">
        <v>881.1</v>
      </c>
      <c r="H134" s="10" t="n">
        <v>881.1</v>
      </c>
      <c r="I134" s="10" t="n">
        <f aca="false">ROUND(H134-G134, 2)</f>
        <v>0</v>
      </c>
    </row>
    <row r="135" customFormat="false" ht="18.75" hidden="false" customHeight="true" outlineLevel="0" collapsed="false">
      <c r="A135" s="7" t="s">
        <v>1913</v>
      </c>
      <c r="B135" s="7" t="s">
        <v>587</v>
      </c>
      <c r="C135" s="7" t="s">
        <v>1914</v>
      </c>
      <c r="D135" s="7" t="s">
        <v>165</v>
      </c>
      <c r="E135" s="7" t="s">
        <v>1787</v>
      </c>
      <c r="F135" s="7" t="s">
        <v>1788</v>
      </c>
      <c r="G135" s="12" t="n">
        <v>907.1</v>
      </c>
      <c r="H135" s="12" t="n">
        <v>907.1</v>
      </c>
      <c r="I135" s="12" t="n">
        <f aca="false">ROUND(H135-G135, 2)</f>
        <v>0</v>
      </c>
    </row>
    <row r="136" customFormat="false" ht="18.75" hidden="false" customHeight="true" outlineLevel="0" collapsed="false">
      <c r="A136" s="4" t="s">
        <v>1915</v>
      </c>
      <c r="B136" s="4" t="s">
        <v>590</v>
      </c>
      <c r="C136" s="4" t="s">
        <v>1916</v>
      </c>
      <c r="D136" s="4" t="s">
        <v>170</v>
      </c>
      <c r="E136" s="4" t="s">
        <v>1787</v>
      </c>
      <c r="F136" s="4" t="s">
        <v>1788</v>
      </c>
      <c r="G136" s="10" t="n">
        <v>933.09</v>
      </c>
      <c r="H136" s="10" t="n">
        <v>933.09</v>
      </c>
      <c r="I136" s="10" t="n">
        <f aca="false">ROUND(H136-G136, 2)</f>
        <v>0</v>
      </c>
    </row>
    <row r="137" customFormat="false" ht="18.75" hidden="false" customHeight="true" outlineLevel="0" collapsed="false">
      <c r="A137" s="7" t="s">
        <v>1917</v>
      </c>
      <c r="B137" s="7" t="s">
        <v>593</v>
      </c>
      <c r="C137" s="7" t="s">
        <v>1918</v>
      </c>
      <c r="D137" s="7" t="s">
        <v>175</v>
      </c>
      <c r="E137" s="7" t="s">
        <v>1787</v>
      </c>
      <c r="F137" s="7" t="s">
        <v>1788</v>
      </c>
      <c r="G137" s="12" t="n">
        <v>959.08</v>
      </c>
      <c r="H137" s="12" t="n">
        <v>959.08</v>
      </c>
      <c r="I137" s="12" t="n">
        <f aca="false">ROUND(H137-G137, 2)</f>
        <v>0</v>
      </c>
    </row>
    <row r="138" customFormat="false" ht="18.75" hidden="false" customHeight="true" outlineLevel="0" collapsed="false">
      <c r="A138" s="4" t="s">
        <v>1919</v>
      </c>
      <c r="B138" s="4" t="s">
        <v>596</v>
      </c>
      <c r="C138" s="4" t="s">
        <v>1920</v>
      </c>
      <c r="D138" s="4" t="s">
        <v>180</v>
      </c>
      <c r="E138" s="4" t="s">
        <v>1787</v>
      </c>
      <c r="F138" s="4" t="s">
        <v>1788</v>
      </c>
      <c r="G138" s="10" t="n">
        <v>984.93</v>
      </c>
      <c r="H138" s="10" t="n">
        <v>984.93</v>
      </c>
      <c r="I138" s="10" t="n">
        <f aca="false">ROUND(H138-G138, 2)</f>
        <v>0</v>
      </c>
    </row>
    <row r="139" customFormat="false" ht="18.75" hidden="false" customHeight="true" outlineLevel="0" collapsed="false">
      <c r="A139" s="7" t="s">
        <v>1921</v>
      </c>
      <c r="B139" s="7" t="s">
        <v>599</v>
      </c>
      <c r="C139" s="7" t="s">
        <v>1922</v>
      </c>
      <c r="D139" s="7" t="s">
        <v>185</v>
      </c>
      <c r="E139" s="7" t="s">
        <v>1787</v>
      </c>
      <c r="F139" s="7" t="s">
        <v>1788</v>
      </c>
      <c r="G139" s="12" t="n">
        <v>1010.92</v>
      </c>
      <c r="H139" s="12" t="n">
        <v>1010.92</v>
      </c>
      <c r="I139" s="12" t="n">
        <f aca="false">ROUND(H139-G139, 2)</f>
        <v>0</v>
      </c>
    </row>
    <row r="140" customFormat="false" ht="18.75" hidden="false" customHeight="true" outlineLevel="0" collapsed="false">
      <c r="A140" s="4" t="s">
        <v>1923</v>
      </c>
      <c r="B140" s="4" t="s">
        <v>602</v>
      </c>
      <c r="C140" s="4" t="s">
        <v>1924</v>
      </c>
      <c r="D140" s="4" t="s">
        <v>190</v>
      </c>
      <c r="E140" s="4" t="s">
        <v>1787</v>
      </c>
      <c r="F140" s="4" t="s">
        <v>1788</v>
      </c>
      <c r="G140" s="10" t="n">
        <v>1036.91</v>
      </c>
      <c r="H140" s="10" t="n">
        <v>1036.91</v>
      </c>
      <c r="I140" s="10" t="n">
        <f aca="false">ROUND(H140-G140, 2)</f>
        <v>0</v>
      </c>
    </row>
    <row r="141" customFormat="false" ht="18.75" hidden="false" customHeight="true" outlineLevel="0" collapsed="false">
      <c r="A141" s="7" t="s">
        <v>1925</v>
      </c>
      <c r="B141" s="7" t="s">
        <v>605</v>
      </c>
      <c r="C141" s="7" t="s">
        <v>1926</v>
      </c>
      <c r="D141" s="7" t="s">
        <v>195</v>
      </c>
      <c r="E141" s="7" t="s">
        <v>1787</v>
      </c>
      <c r="F141" s="7" t="s">
        <v>1788</v>
      </c>
      <c r="G141" s="12" t="n">
        <v>1062.76</v>
      </c>
      <c r="H141" s="12" t="n">
        <v>1062.76</v>
      </c>
      <c r="I141" s="12" t="n">
        <f aca="false">ROUND(H141-G141, 2)</f>
        <v>0</v>
      </c>
    </row>
    <row r="142" customFormat="false" ht="18.75" hidden="false" customHeight="true" outlineLevel="0" collapsed="false">
      <c r="A142" s="4" t="s">
        <v>1927</v>
      </c>
      <c r="B142" s="4" t="s">
        <v>608</v>
      </c>
      <c r="C142" s="4" t="s">
        <v>1928</v>
      </c>
      <c r="D142" s="4" t="s">
        <v>200</v>
      </c>
      <c r="E142" s="4" t="s">
        <v>1787</v>
      </c>
      <c r="F142" s="4" t="s">
        <v>1788</v>
      </c>
      <c r="G142" s="10" t="n">
        <v>1088.75</v>
      </c>
      <c r="H142" s="10" t="n">
        <v>1088.75</v>
      </c>
      <c r="I142" s="10" t="n">
        <f aca="false">ROUND(H142-G142, 2)</f>
        <v>0</v>
      </c>
    </row>
    <row r="143" customFormat="false" ht="18.75" hidden="false" customHeight="true" outlineLevel="0" collapsed="false">
      <c r="A143" s="7" t="s">
        <v>1929</v>
      </c>
      <c r="B143" s="7" t="s">
        <v>611</v>
      </c>
      <c r="C143" s="7" t="s">
        <v>1930</v>
      </c>
      <c r="D143" s="7" t="s">
        <v>205</v>
      </c>
      <c r="E143" s="7" t="s">
        <v>1787</v>
      </c>
      <c r="F143" s="7" t="s">
        <v>1788</v>
      </c>
      <c r="G143" s="12" t="n">
        <v>1114.74</v>
      </c>
      <c r="H143" s="12" t="n">
        <v>1114.74</v>
      </c>
      <c r="I143" s="12" t="n">
        <f aca="false">ROUND(H143-G143, 2)</f>
        <v>0</v>
      </c>
    </row>
    <row r="144" customFormat="false" ht="18.75" hidden="false" customHeight="true" outlineLevel="0" collapsed="false">
      <c r="A144" s="4" t="s">
        <v>1931</v>
      </c>
      <c r="B144" s="4" t="s">
        <v>614</v>
      </c>
      <c r="C144" s="4" t="s">
        <v>1932</v>
      </c>
      <c r="D144" s="4" t="s">
        <v>210</v>
      </c>
      <c r="E144" s="4" t="s">
        <v>1787</v>
      </c>
      <c r="F144" s="4" t="s">
        <v>1788</v>
      </c>
      <c r="G144" s="10" t="n">
        <v>1140.74</v>
      </c>
      <c r="H144" s="10" t="n">
        <v>1140.74</v>
      </c>
      <c r="I144" s="10" t="n">
        <f aca="false">ROUND(H144-G144, 2)</f>
        <v>0</v>
      </c>
    </row>
    <row r="145" customFormat="false" ht="18.75" hidden="false" customHeight="true" outlineLevel="0" collapsed="false">
      <c r="A145" s="7" t="s">
        <v>1933</v>
      </c>
      <c r="B145" s="7" t="s">
        <v>617</v>
      </c>
      <c r="C145" s="7" t="s">
        <v>1934</v>
      </c>
      <c r="D145" s="7" t="s">
        <v>215</v>
      </c>
      <c r="E145" s="7" t="s">
        <v>1787</v>
      </c>
      <c r="F145" s="7" t="s">
        <v>1788</v>
      </c>
      <c r="G145" s="12" t="n">
        <v>1166.58</v>
      </c>
      <c r="H145" s="12" t="n">
        <v>1166.58</v>
      </c>
      <c r="I145" s="12" t="n">
        <f aca="false">ROUND(H145-G145, 2)</f>
        <v>0</v>
      </c>
    </row>
    <row r="146" customFormat="false" ht="18.75" hidden="false" customHeight="true" outlineLevel="0" collapsed="false">
      <c r="A146" s="4" t="s">
        <v>1935</v>
      </c>
      <c r="B146" s="4" t="s">
        <v>620</v>
      </c>
      <c r="C146" s="4" t="s">
        <v>1936</v>
      </c>
      <c r="D146" s="4" t="s">
        <v>220</v>
      </c>
      <c r="E146" s="4" t="s">
        <v>1787</v>
      </c>
      <c r="F146" s="4" t="s">
        <v>1788</v>
      </c>
      <c r="G146" s="10" t="n">
        <v>1192.58</v>
      </c>
      <c r="H146" s="10" t="n">
        <v>1192.58</v>
      </c>
      <c r="I146" s="10" t="n">
        <f aca="false">ROUND(H146-G146, 2)</f>
        <v>0</v>
      </c>
    </row>
    <row r="147" customFormat="false" ht="18.75" hidden="false" customHeight="true" outlineLevel="0" collapsed="false">
      <c r="A147" s="7" t="s">
        <v>1937</v>
      </c>
      <c r="B147" s="7" t="s">
        <v>623</v>
      </c>
      <c r="C147" s="7" t="s">
        <v>1938</v>
      </c>
      <c r="D147" s="7" t="s">
        <v>99</v>
      </c>
      <c r="E147" s="7" t="s">
        <v>1787</v>
      </c>
      <c r="F147" s="7" t="s">
        <v>1788</v>
      </c>
      <c r="G147" s="12" t="n">
        <v>1218.57</v>
      </c>
      <c r="H147" s="12" t="n">
        <v>1218.57</v>
      </c>
      <c r="I147" s="12" t="n">
        <f aca="false">ROUND(H147-G147, 2)</f>
        <v>0</v>
      </c>
    </row>
    <row r="148" customFormat="false" ht="18.75" hidden="false" customHeight="true" outlineLevel="0" collapsed="false">
      <c r="A148" s="4" t="s">
        <v>1939</v>
      </c>
      <c r="B148" s="4" t="s">
        <v>626</v>
      </c>
      <c r="C148" s="4" t="s">
        <v>1940</v>
      </c>
      <c r="D148" s="4" t="s">
        <v>105</v>
      </c>
      <c r="E148" s="4" t="s">
        <v>1787</v>
      </c>
      <c r="F148" s="4" t="s">
        <v>1788</v>
      </c>
      <c r="G148" s="10" t="n">
        <v>1244.41</v>
      </c>
      <c r="H148" s="10" t="n">
        <v>1244.41</v>
      </c>
      <c r="I148" s="10" t="n">
        <f aca="false">ROUND(H148-G148, 2)</f>
        <v>0</v>
      </c>
    </row>
    <row r="149" customFormat="false" ht="18.75" hidden="false" customHeight="true" outlineLevel="0" collapsed="false">
      <c r="A149" s="7" t="s">
        <v>1941</v>
      </c>
      <c r="B149" s="7" t="s">
        <v>629</v>
      </c>
      <c r="C149" s="7" t="s">
        <v>1942</v>
      </c>
      <c r="D149" s="7" t="s">
        <v>110</v>
      </c>
      <c r="E149" s="7" t="s">
        <v>1787</v>
      </c>
      <c r="F149" s="7" t="s">
        <v>1788</v>
      </c>
      <c r="G149" s="12" t="n">
        <v>1270.41</v>
      </c>
      <c r="H149" s="12" t="n">
        <v>1270.41</v>
      </c>
      <c r="I149" s="12" t="n">
        <f aca="false">ROUND(H149-G149, 2)</f>
        <v>0</v>
      </c>
    </row>
    <row r="150" customFormat="false" ht="18.75" hidden="false" customHeight="true" outlineLevel="0" collapsed="false">
      <c r="A150" s="4" t="s">
        <v>1943</v>
      </c>
      <c r="B150" s="4" t="s">
        <v>632</v>
      </c>
      <c r="C150" s="4" t="s">
        <v>1944</v>
      </c>
      <c r="D150" s="4" t="s">
        <v>115</v>
      </c>
      <c r="E150" s="4" t="s">
        <v>1787</v>
      </c>
      <c r="F150" s="4" t="s">
        <v>1788</v>
      </c>
      <c r="G150" s="10" t="n">
        <v>1296.4</v>
      </c>
      <c r="H150" s="10" t="n">
        <v>1296.4</v>
      </c>
      <c r="I150" s="10" t="n">
        <f aca="false">ROUND(H150-G150, 2)</f>
        <v>0</v>
      </c>
    </row>
    <row r="151" customFormat="false" ht="18.75" hidden="false" customHeight="true" outlineLevel="0" collapsed="false">
      <c r="A151" s="7" t="s">
        <v>1945</v>
      </c>
      <c r="B151" s="7" t="s">
        <v>635</v>
      </c>
      <c r="C151" s="7" t="s">
        <v>1946</v>
      </c>
      <c r="D151" s="7" t="s">
        <v>120</v>
      </c>
      <c r="E151" s="7" t="s">
        <v>1787</v>
      </c>
      <c r="F151" s="7" t="s">
        <v>1788</v>
      </c>
      <c r="G151" s="12" t="n">
        <v>1322.39</v>
      </c>
      <c r="H151" s="12" t="n">
        <v>1322.39</v>
      </c>
      <c r="I151" s="12" t="n">
        <f aca="false">ROUND(H151-G151, 2)</f>
        <v>0</v>
      </c>
    </row>
    <row r="152" customFormat="false" ht="18.75" hidden="false" customHeight="true" outlineLevel="0" collapsed="false">
      <c r="A152" s="4" t="s">
        <v>1947</v>
      </c>
      <c r="B152" s="4" t="s">
        <v>638</v>
      </c>
      <c r="C152" s="4" t="s">
        <v>1948</v>
      </c>
      <c r="D152" s="4" t="s">
        <v>125</v>
      </c>
      <c r="E152" s="4" t="s">
        <v>1787</v>
      </c>
      <c r="F152" s="4" t="s">
        <v>1788</v>
      </c>
      <c r="G152" s="10" t="n">
        <v>1348.24</v>
      </c>
      <c r="H152" s="10" t="n">
        <v>1348.24</v>
      </c>
      <c r="I152" s="10" t="n">
        <f aca="false">ROUND(H152-G152, 2)</f>
        <v>0</v>
      </c>
    </row>
    <row r="153" customFormat="false" ht="18.75" hidden="false" customHeight="true" outlineLevel="0" collapsed="false">
      <c r="A153" s="7" t="s">
        <v>1949</v>
      </c>
      <c r="B153" s="7" t="s">
        <v>641</v>
      </c>
      <c r="C153" s="7" t="s">
        <v>1950</v>
      </c>
      <c r="D153" s="7" t="s">
        <v>130</v>
      </c>
      <c r="E153" s="7" t="s">
        <v>1787</v>
      </c>
      <c r="F153" s="7" t="s">
        <v>1788</v>
      </c>
      <c r="G153" s="12" t="n">
        <v>1374.23</v>
      </c>
      <c r="H153" s="12" t="n">
        <v>1374.23</v>
      </c>
      <c r="I153" s="12" t="n">
        <f aca="false">ROUND(H153-G153, 2)</f>
        <v>0</v>
      </c>
    </row>
    <row r="154" customFormat="false" ht="18.75" hidden="false" customHeight="true" outlineLevel="0" collapsed="false">
      <c r="A154" s="4" t="s">
        <v>1951</v>
      </c>
      <c r="B154" s="4" t="s">
        <v>644</v>
      </c>
      <c r="C154" s="4" t="s">
        <v>1952</v>
      </c>
      <c r="D154" s="4" t="s">
        <v>135</v>
      </c>
      <c r="E154" s="4" t="s">
        <v>1787</v>
      </c>
      <c r="F154" s="4" t="s">
        <v>1788</v>
      </c>
      <c r="G154" s="10" t="n">
        <v>1400.22</v>
      </c>
      <c r="H154" s="10" t="n">
        <v>1400.22</v>
      </c>
      <c r="I154" s="10" t="n">
        <f aca="false">ROUND(H154-G154, 2)</f>
        <v>0</v>
      </c>
    </row>
    <row r="155" customFormat="false" ht="18.75" hidden="false" customHeight="true" outlineLevel="0" collapsed="false">
      <c r="A155" s="7" t="s">
        <v>1953</v>
      </c>
      <c r="B155" s="7" t="s">
        <v>647</v>
      </c>
      <c r="C155" s="7" t="s">
        <v>1954</v>
      </c>
      <c r="D155" s="7" t="s">
        <v>140</v>
      </c>
      <c r="E155" s="7" t="s">
        <v>1787</v>
      </c>
      <c r="F155" s="7" t="s">
        <v>1788</v>
      </c>
      <c r="G155" s="12" t="n">
        <v>1426.07</v>
      </c>
      <c r="H155" s="12" t="n">
        <v>1426.07</v>
      </c>
      <c r="I155" s="12" t="n">
        <f aca="false">ROUND(H155-G155, 2)</f>
        <v>0</v>
      </c>
    </row>
    <row r="156" customFormat="false" ht="18.75" hidden="false" customHeight="true" outlineLevel="0" collapsed="false">
      <c r="A156" s="4" t="s">
        <v>1955</v>
      </c>
      <c r="B156" s="4" t="s">
        <v>650</v>
      </c>
      <c r="C156" s="4" t="s">
        <v>1956</v>
      </c>
      <c r="D156" s="4" t="s">
        <v>145</v>
      </c>
      <c r="E156" s="4" t="s">
        <v>1787</v>
      </c>
      <c r="F156" s="4" t="s">
        <v>1788</v>
      </c>
      <c r="G156" s="10" t="n">
        <v>1452.06</v>
      </c>
      <c r="H156" s="10" t="n">
        <v>1452.06</v>
      </c>
      <c r="I156" s="10" t="n">
        <f aca="false">ROUND(H156-G156, 2)</f>
        <v>0</v>
      </c>
    </row>
    <row r="157" customFormat="false" ht="18.75" hidden="false" customHeight="true" outlineLevel="0" collapsed="false">
      <c r="A157" s="7" t="s">
        <v>1957</v>
      </c>
      <c r="B157" s="7" t="s">
        <v>653</v>
      </c>
      <c r="C157" s="7" t="s">
        <v>1958</v>
      </c>
      <c r="D157" s="7" t="s">
        <v>150</v>
      </c>
      <c r="E157" s="7" t="s">
        <v>1787</v>
      </c>
      <c r="F157" s="7" t="s">
        <v>1788</v>
      </c>
      <c r="G157" s="12" t="n">
        <v>1478.05</v>
      </c>
      <c r="H157" s="12" t="n">
        <v>1478.05</v>
      </c>
      <c r="I157" s="12" t="n">
        <f aca="false">ROUND(H157-G157, 2)</f>
        <v>0</v>
      </c>
    </row>
    <row r="158" customFormat="false" ht="18.75" hidden="false" customHeight="true" outlineLevel="0" collapsed="false">
      <c r="A158" s="4" t="s">
        <v>1959</v>
      </c>
      <c r="B158" s="4" t="s">
        <v>656</v>
      </c>
      <c r="C158" s="4" t="s">
        <v>1960</v>
      </c>
      <c r="D158" s="4" t="s">
        <v>155</v>
      </c>
      <c r="E158" s="4" t="s">
        <v>1787</v>
      </c>
      <c r="F158" s="4" t="s">
        <v>1788</v>
      </c>
      <c r="G158" s="10" t="n">
        <v>1504.05</v>
      </c>
      <c r="H158" s="10" t="n">
        <v>1504.05</v>
      </c>
      <c r="I158" s="10" t="n">
        <f aca="false">ROUND(H158-G158, 2)</f>
        <v>0</v>
      </c>
    </row>
    <row r="159" customFormat="false" ht="18.75" hidden="false" customHeight="true" outlineLevel="0" collapsed="false">
      <c r="A159" s="7" t="s">
        <v>1961</v>
      </c>
      <c r="B159" s="7" t="s">
        <v>659</v>
      </c>
      <c r="C159" s="7" t="s">
        <v>1962</v>
      </c>
      <c r="D159" s="7" t="s">
        <v>160</v>
      </c>
      <c r="E159" s="7" t="s">
        <v>1787</v>
      </c>
      <c r="F159" s="7" t="s">
        <v>1788</v>
      </c>
      <c r="G159" s="12" t="n">
        <v>1529.89</v>
      </c>
      <c r="H159" s="12" t="n">
        <v>1529.89</v>
      </c>
      <c r="I159" s="12" t="n">
        <f aca="false">ROUND(H159-G159, 2)</f>
        <v>0</v>
      </c>
    </row>
    <row r="160" customFormat="false" ht="18.75" hidden="false" customHeight="true" outlineLevel="0" collapsed="false">
      <c r="A160" s="4" t="s">
        <v>1963</v>
      </c>
      <c r="B160" s="4" t="s">
        <v>662</v>
      </c>
      <c r="C160" s="4" t="s">
        <v>1964</v>
      </c>
      <c r="D160" s="4" t="s">
        <v>165</v>
      </c>
      <c r="E160" s="4" t="s">
        <v>1787</v>
      </c>
      <c r="F160" s="4" t="s">
        <v>1788</v>
      </c>
      <c r="G160" s="10" t="n">
        <v>1555.88</v>
      </c>
      <c r="H160" s="10" t="n">
        <v>1555.88</v>
      </c>
      <c r="I160" s="10" t="n">
        <f aca="false">ROUND(H160-G160, 2)</f>
        <v>0</v>
      </c>
    </row>
    <row r="161" customFormat="false" ht="18.75" hidden="false" customHeight="true" outlineLevel="0" collapsed="false">
      <c r="A161" s="7" t="s">
        <v>1965</v>
      </c>
      <c r="B161" s="7" t="s">
        <v>665</v>
      </c>
      <c r="C161" s="7" t="s">
        <v>1966</v>
      </c>
      <c r="D161" s="7" t="s">
        <v>170</v>
      </c>
      <c r="E161" s="7" t="s">
        <v>1787</v>
      </c>
      <c r="F161" s="7" t="s">
        <v>1788</v>
      </c>
      <c r="G161" s="12" t="n">
        <v>1581.88</v>
      </c>
      <c r="H161" s="12" t="n">
        <v>1581.88</v>
      </c>
      <c r="I161" s="12" t="n">
        <f aca="false">ROUND(H161-G161, 2)</f>
        <v>0</v>
      </c>
    </row>
    <row r="162" customFormat="false" ht="18.75" hidden="false" customHeight="true" outlineLevel="0" collapsed="false">
      <c r="A162" s="4" t="s">
        <v>1967</v>
      </c>
      <c r="B162" s="4" t="s">
        <v>668</v>
      </c>
      <c r="C162" s="4" t="s">
        <v>1968</v>
      </c>
      <c r="D162" s="4" t="s">
        <v>175</v>
      </c>
      <c r="E162" s="4" t="s">
        <v>1787</v>
      </c>
      <c r="F162" s="4" t="s">
        <v>1788</v>
      </c>
      <c r="G162" s="10" t="n">
        <v>1607.72</v>
      </c>
      <c r="H162" s="10" t="n">
        <v>1607.72</v>
      </c>
      <c r="I162" s="10" t="n">
        <f aca="false">ROUND(H162-G162, 2)</f>
        <v>0</v>
      </c>
    </row>
    <row r="163" customFormat="false" ht="18.75" hidden="false" customHeight="true" outlineLevel="0" collapsed="false">
      <c r="A163" s="7" t="s">
        <v>1969</v>
      </c>
      <c r="B163" s="7" t="s">
        <v>671</v>
      </c>
      <c r="C163" s="7" t="s">
        <v>1970</v>
      </c>
      <c r="D163" s="7" t="s">
        <v>180</v>
      </c>
      <c r="E163" s="7" t="s">
        <v>1787</v>
      </c>
      <c r="F163" s="7" t="s">
        <v>1788</v>
      </c>
      <c r="G163" s="12" t="n">
        <v>1633.71</v>
      </c>
      <c r="H163" s="12" t="n">
        <v>1633.71</v>
      </c>
      <c r="I163" s="12" t="n">
        <f aca="false">ROUND(H163-G163, 2)</f>
        <v>0</v>
      </c>
    </row>
    <row r="164" customFormat="false" ht="18.75" hidden="false" customHeight="true" outlineLevel="0" collapsed="false">
      <c r="A164" s="4" t="s">
        <v>1971</v>
      </c>
      <c r="B164" s="4" t="s">
        <v>674</v>
      </c>
      <c r="C164" s="4" t="s">
        <v>1972</v>
      </c>
      <c r="D164" s="4" t="s">
        <v>185</v>
      </c>
      <c r="E164" s="4" t="s">
        <v>1787</v>
      </c>
      <c r="F164" s="4" t="s">
        <v>1788</v>
      </c>
      <c r="G164" s="10" t="n">
        <v>1659.71</v>
      </c>
      <c r="H164" s="10" t="n">
        <v>1659.71</v>
      </c>
      <c r="I164" s="10" t="n">
        <f aca="false">ROUND(H164-G164, 2)</f>
        <v>0</v>
      </c>
    </row>
    <row r="165" customFormat="false" ht="18.75" hidden="false" customHeight="true" outlineLevel="0" collapsed="false">
      <c r="A165" s="7" t="s">
        <v>1973</v>
      </c>
      <c r="B165" s="7" t="s">
        <v>677</v>
      </c>
      <c r="C165" s="7" t="s">
        <v>1974</v>
      </c>
      <c r="D165" s="7" t="s">
        <v>190</v>
      </c>
      <c r="E165" s="7" t="s">
        <v>1787</v>
      </c>
      <c r="F165" s="7" t="s">
        <v>1788</v>
      </c>
      <c r="G165" s="12" t="n">
        <v>1685.55</v>
      </c>
      <c r="H165" s="12" t="n">
        <v>1685.55</v>
      </c>
      <c r="I165" s="12" t="n">
        <f aca="false">ROUND(H165-G165, 2)</f>
        <v>0</v>
      </c>
    </row>
    <row r="166" customFormat="false" ht="18.75" hidden="false" customHeight="true" outlineLevel="0" collapsed="false">
      <c r="A166" s="4" t="s">
        <v>1975</v>
      </c>
      <c r="B166" s="4" t="s">
        <v>680</v>
      </c>
      <c r="C166" s="4" t="s">
        <v>1976</v>
      </c>
      <c r="D166" s="4" t="s">
        <v>195</v>
      </c>
      <c r="E166" s="4" t="s">
        <v>1787</v>
      </c>
      <c r="F166" s="4" t="s">
        <v>1788</v>
      </c>
      <c r="G166" s="10" t="n">
        <v>1711.55</v>
      </c>
      <c r="H166" s="10" t="n">
        <v>1711.55</v>
      </c>
      <c r="I166" s="10" t="n">
        <f aca="false">ROUND(H166-G166, 2)</f>
        <v>0</v>
      </c>
    </row>
    <row r="167" customFormat="false" ht="18.75" hidden="false" customHeight="true" outlineLevel="0" collapsed="false">
      <c r="A167" s="7" t="s">
        <v>1977</v>
      </c>
      <c r="B167" s="7" t="s">
        <v>683</v>
      </c>
      <c r="C167" s="7" t="s">
        <v>1978</v>
      </c>
      <c r="D167" s="7" t="s">
        <v>200</v>
      </c>
      <c r="E167" s="7" t="s">
        <v>1787</v>
      </c>
      <c r="F167" s="7" t="s">
        <v>1788</v>
      </c>
      <c r="G167" s="12" t="n">
        <v>1737.54</v>
      </c>
      <c r="H167" s="12" t="n">
        <v>1737.54</v>
      </c>
      <c r="I167" s="12" t="n">
        <f aca="false">ROUND(H167-G167, 2)</f>
        <v>0</v>
      </c>
    </row>
    <row r="168" customFormat="false" ht="18.75" hidden="false" customHeight="true" outlineLevel="0" collapsed="false">
      <c r="A168" s="4" t="s">
        <v>1979</v>
      </c>
      <c r="B168" s="4" t="s">
        <v>686</v>
      </c>
      <c r="C168" s="4" t="s">
        <v>1980</v>
      </c>
      <c r="D168" s="4" t="s">
        <v>205</v>
      </c>
      <c r="E168" s="4" t="s">
        <v>1787</v>
      </c>
      <c r="F168" s="4" t="s">
        <v>1788</v>
      </c>
      <c r="G168" s="10" t="n">
        <v>1763.53</v>
      </c>
      <c r="H168" s="10" t="n">
        <v>1763.53</v>
      </c>
      <c r="I168" s="10" t="n">
        <f aca="false">ROUND(H168-G168, 2)</f>
        <v>0</v>
      </c>
    </row>
    <row r="169" customFormat="false" ht="18.75" hidden="false" customHeight="true" outlineLevel="0" collapsed="false">
      <c r="A169" s="7" t="s">
        <v>1981</v>
      </c>
      <c r="B169" s="7" t="s">
        <v>689</v>
      </c>
      <c r="C169" s="7" t="s">
        <v>1982</v>
      </c>
      <c r="D169" s="7" t="s">
        <v>210</v>
      </c>
      <c r="E169" s="7" t="s">
        <v>1787</v>
      </c>
      <c r="F169" s="7" t="s">
        <v>1788</v>
      </c>
      <c r="G169" s="12" t="n">
        <v>1789.38</v>
      </c>
      <c r="H169" s="12" t="n">
        <v>1789.38</v>
      </c>
      <c r="I169" s="12" t="n">
        <f aca="false">ROUND(H169-G169, 2)</f>
        <v>0</v>
      </c>
    </row>
    <row r="170" customFormat="false" ht="18.75" hidden="false" customHeight="true" outlineLevel="0" collapsed="false">
      <c r="A170" s="4" t="s">
        <v>1983</v>
      </c>
      <c r="B170" s="4" t="s">
        <v>692</v>
      </c>
      <c r="C170" s="4" t="s">
        <v>1984</v>
      </c>
      <c r="D170" s="4" t="s">
        <v>215</v>
      </c>
      <c r="E170" s="4" t="s">
        <v>1787</v>
      </c>
      <c r="F170" s="4" t="s">
        <v>1788</v>
      </c>
      <c r="G170" s="10" t="n">
        <v>1815.37</v>
      </c>
      <c r="H170" s="10" t="n">
        <v>1815.37</v>
      </c>
      <c r="I170" s="10" t="n">
        <f aca="false">ROUND(H170-G170, 2)</f>
        <v>0</v>
      </c>
    </row>
    <row r="171" customFormat="false" ht="18.75" hidden="false" customHeight="true" outlineLevel="0" collapsed="false">
      <c r="A171" s="7" t="s">
        <v>1985</v>
      </c>
      <c r="B171" s="7" t="s">
        <v>695</v>
      </c>
      <c r="C171" s="7" t="s">
        <v>1986</v>
      </c>
      <c r="D171" s="7" t="s">
        <v>220</v>
      </c>
      <c r="E171" s="7" t="s">
        <v>1787</v>
      </c>
      <c r="F171" s="7" t="s">
        <v>1788</v>
      </c>
      <c r="G171" s="12" t="n">
        <v>1841.36</v>
      </c>
      <c r="H171" s="12" t="n">
        <v>1841.36</v>
      </c>
      <c r="I171" s="12" t="n">
        <f aca="false">ROUND(H171-G171, 2)</f>
        <v>0</v>
      </c>
    </row>
    <row r="172" customFormat="false" ht="18.75" hidden="false" customHeight="true" outlineLevel="0" collapsed="false">
      <c r="A172" s="4" t="s">
        <v>1987</v>
      </c>
      <c r="B172" s="4" t="s">
        <v>1465</v>
      </c>
      <c r="C172" s="4" t="s">
        <v>1988</v>
      </c>
      <c r="D172" s="4" t="s">
        <v>99</v>
      </c>
      <c r="E172" s="4" t="s">
        <v>1787</v>
      </c>
      <c r="F172" s="4" t="s">
        <v>1788</v>
      </c>
      <c r="G172" s="10" t="n">
        <v>1867.21</v>
      </c>
      <c r="H172" s="10" t="n">
        <v>1867.21</v>
      </c>
      <c r="I172" s="10" t="n">
        <f aca="false">ROUND(H172-G172, 2)</f>
        <v>0</v>
      </c>
    </row>
    <row r="173" customFormat="false" ht="18.75" hidden="false" customHeight="true" outlineLevel="0" collapsed="false">
      <c r="A173" s="7" t="s">
        <v>1989</v>
      </c>
      <c r="B173" s="7" t="s">
        <v>1469</v>
      </c>
      <c r="C173" s="7" t="s">
        <v>1990</v>
      </c>
      <c r="D173" s="7" t="s">
        <v>105</v>
      </c>
      <c r="E173" s="7" t="s">
        <v>1787</v>
      </c>
      <c r="F173" s="7" t="s">
        <v>1788</v>
      </c>
      <c r="G173" s="12" t="n">
        <v>1893.2</v>
      </c>
      <c r="H173" s="12" t="n">
        <v>1893.2</v>
      </c>
      <c r="I173" s="12" t="n">
        <f aca="false">ROUND(H173-G173, 2)</f>
        <v>0</v>
      </c>
    </row>
    <row r="174" customFormat="false" ht="18.75" hidden="false" customHeight="true" outlineLevel="0" collapsed="false">
      <c r="A174" s="4" t="s">
        <v>1991</v>
      </c>
      <c r="B174" s="4" t="s">
        <v>1473</v>
      </c>
      <c r="C174" s="4" t="s">
        <v>1992</v>
      </c>
      <c r="D174" s="4" t="s">
        <v>110</v>
      </c>
      <c r="E174" s="4" t="s">
        <v>1787</v>
      </c>
      <c r="F174" s="4" t="s">
        <v>1788</v>
      </c>
      <c r="G174" s="10" t="n">
        <v>1919.19</v>
      </c>
      <c r="H174" s="10" t="n">
        <v>1919.19</v>
      </c>
      <c r="I174" s="10" t="n">
        <f aca="false">ROUND(H174-G174, 2)</f>
        <v>0</v>
      </c>
    </row>
    <row r="175" customFormat="false" ht="18.75" hidden="false" customHeight="true" outlineLevel="0" collapsed="false">
      <c r="A175" s="7" t="s">
        <v>1993</v>
      </c>
      <c r="B175" s="7" t="s">
        <v>1477</v>
      </c>
      <c r="C175" s="7" t="s">
        <v>1994</v>
      </c>
      <c r="D175" s="7" t="s">
        <v>115</v>
      </c>
      <c r="E175" s="7" t="s">
        <v>1787</v>
      </c>
      <c r="F175" s="7" t="s">
        <v>1788</v>
      </c>
      <c r="G175" s="12" t="n">
        <v>1945.19</v>
      </c>
      <c r="H175" s="12" t="n">
        <v>1945.19</v>
      </c>
      <c r="I175" s="12" t="n">
        <f aca="false">ROUND(H175-G175, 2)</f>
        <v>0</v>
      </c>
    </row>
    <row r="176" customFormat="false" ht="18.75" hidden="false" customHeight="true" outlineLevel="0" collapsed="false">
      <c r="A176" s="4" t="s">
        <v>1995</v>
      </c>
      <c r="B176" s="4" t="s">
        <v>1481</v>
      </c>
      <c r="C176" s="4" t="s">
        <v>1996</v>
      </c>
      <c r="D176" s="4" t="s">
        <v>120</v>
      </c>
      <c r="E176" s="4" t="s">
        <v>1787</v>
      </c>
      <c r="F176" s="4" t="s">
        <v>1788</v>
      </c>
      <c r="G176" s="10" t="n">
        <v>1971.03</v>
      </c>
      <c r="H176" s="10" t="n">
        <v>1971.03</v>
      </c>
      <c r="I176" s="10" t="n">
        <f aca="false">ROUND(H176-G176, 2)</f>
        <v>0</v>
      </c>
    </row>
    <row r="177" customFormat="false" ht="18.75" hidden="false" customHeight="true" outlineLevel="0" collapsed="false">
      <c r="A177" s="7" t="s">
        <v>1997</v>
      </c>
      <c r="B177" s="7" t="s">
        <v>1485</v>
      </c>
      <c r="C177" s="7" t="s">
        <v>1998</v>
      </c>
      <c r="D177" s="7" t="s">
        <v>125</v>
      </c>
      <c r="E177" s="7" t="s">
        <v>1787</v>
      </c>
      <c r="F177" s="7" t="s">
        <v>1788</v>
      </c>
      <c r="G177" s="12" t="n">
        <v>1997.02</v>
      </c>
      <c r="H177" s="12" t="n">
        <v>1997.02</v>
      </c>
      <c r="I177" s="12" t="n">
        <f aca="false">ROUND(H177-G177, 2)</f>
        <v>0</v>
      </c>
    </row>
    <row r="178" customFormat="false" ht="18.75" hidden="false" customHeight="true" outlineLevel="0" collapsed="false">
      <c r="A178" s="4" t="s">
        <v>1999</v>
      </c>
      <c r="B178" s="4" t="s">
        <v>1489</v>
      </c>
      <c r="C178" s="4" t="s">
        <v>2000</v>
      </c>
      <c r="D178" s="4" t="s">
        <v>130</v>
      </c>
      <c r="E178" s="4" t="s">
        <v>1787</v>
      </c>
      <c r="F178" s="4" t="s">
        <v>1788</v>
      </c>
      <c r="G178" s="10" t="n">
        <v>2023.02</v>
      </c>
      <c r="H178" s="10" t="n">
        <v>2023.02</v>
      </c>
      <c r="I178" s="10" t="n">
        <f aca="false">ROUND(H178-G178, 2)</f>
        <v>0</v>
      </c>
    </row>
    <row r="179" customFormat="false" ht="18.75" hidden="false" customHeight="true" outlineLevel="0" collapsed="false">
      <c r="A179" s="7" t="s">
        <v>2001</v>
      </c>
      <c r="B179" s="7" t="s">
        <v>1493</v>
      </c>
      <c r="C179" s="7" t="s">
        <v>2002</v>
      </c>
      <c r="D179" s="7" t="s">
        <v>135</v>
      </c>
      <c r="E179" s="7" t="s">
        <v>1787</v>
      </c>
      <c r="F179" s="7" t="s">
        <v>1788</v>
      </c>
      <c r="G179" s="12" t="n">
        <v>2048.86</v>
      </c>
      <c r="H179" s="12" t="n">
        <v>2048.86</v>
      </c>
      <c r="I179" s="12" t="n">
        <f aca="false">ROUND(H179-G179, 2)</f>
        <v>0</v>
      </c>
    </row>
    <row r="180" customFormat="false" ht="18.75" hidden="false" customHeight="true" outlineLevel="0" collapsed="false">
      <c r="A180" s="4" t="s">
        <v>2003</v>
      </c>
      <c r="B180" s="4" t="s">
        <v>1497</v>
      </c>
      <c r="C180" s="4" t="s">
        <v>2004</v>
      </c>
      <c r="D180" s="4" t="s">
        <v>140</v>
      </c>
      <c r="E180" s="4" t="s">
        <v>1787</v>
      </c>
      <c r="F180" s="4" t="s">
        <v>1788</v>
      </c>
      <c r="G180" s="10" t="n">
        <v>2074.85</v>
      </c>
      <c r="H180" s="10" t="n">
        <v>2074.85</v>
      </c>
      <c r="I180" s="10" t="n">
        <f aca="false">ROUND(H180-G180, 2)</f>
        <v>0</v>
      </c>
    </row>
    <row r="181" customFormat="false" ht="18.75" hidden="false" customHeight="true" outlineLevel="0" collapsed="false">
      <c r="A181" s="7" t="s">
        <v>2005</v>
      </c>
      <c r="B181" s="7" t="s">
        <v>1501</v>
      </c>
      <c r="C181" s="7" t="s">
        <v>2006</v>
      </c>
      <c r="D181" s="7" t="s">
        <v>145</v>
      </c>
      <c r="E181" s="7" t="s">
        <v>1787</v>
      </c>
      <c r="F181" s="7" t="s">
        <v>1788</v>
      </c>
      <c r="G181" s="12" t="n">
        <v>2100.85</v>
      </c>
      <c r="H181" s="12" t="n">
        <v>2100.85</v>
      </c>
      <c r="I181" s="12" t="n">
        <f aca="false">ROUND(H181-G181, 2)</f>
        <v>0</v>
      </c>
    </row>
    <row r="182" customFormat="false" ht="18.75" hidden="false" customHeight="true" outlineLevel="0" collapsed="false">
      <c r="A182" s="4" t="s">
        <v>2007</v>
      </c>
      <c r="B182" s="4" t="s">
        <v>1505</v>
      </c>
      <c r="C182" s="4" t="s">
        <v>2008</v>
      </c>
      <c r="D182" s="4" t="s">
        <v>150</v>
      </c>
      <c r="E182" s="4" t="s">
        <v>1787</v>
      </c>
      <c r="F182" s="4" t="s">
        <v>1788</v>
      </c>
      <c r="G182" s="10" t="n">
        <v>2126.84</v>
      </c>
      <c r="H182" s="10" t="n">
        <v>2126.84</v>
      </c>
      <c r="I182" s="10" t="n">
        <f aca="false">ROUND(H182-G182, 2)</f>
        <v>0</v>
      </c>
    </row>
    <row r="183" customFormat="false" ht="18.75" hidden="false" customHeight="true" outlineLevel="0" collapsed="false">
      <c r="A183" s="7" t="s">
        <v>2009</v>
      </c>
      <c r="B183" s="7" t="s">
        <v>1509</v>
      </c>
      <c r="C183" s="7" t="s">
        <v>2010</v>
      </c>
      <c r="D183" s="7" t="s">
        <v>155</v>
      </c>
      <c r="E183" s="7" t="s">
        <v>1787</v>
      </c>
      <c r="F183" s="7" t="s">
        <v>1788</v>
      </c>
      <c r="G183" s="12" t="n">
        <v>2152.68</v>
      </c>
      <c r="H183" s="12" t="n">
        <v>2152.68</v>
      </c>
      <c r="I183" s="12" t="n">
        <f aca="false">ROUND(H183-G183, 2)</f>
        <v>0</v>
      </c>
    </row>
    <row r="184" customFormat="false" ht="18.75" hidden="false" customHeight="true" outlineLevel="0" collapsed="false">
      <c r="A184" s="4" t="s">
        <v>2011</v>
      </c>
      <c r="B184" s="4" t="s">
        <v>1513</v>
      </c>
      <c r="C184" s="4" t="s">
        <v>2012</v>
      </c>
      <c r="D184" s="4" t="s">
        <v>160</v>
      </c>
      <c r="E184" s="4" t="s">
        <v>1787</v>
      </c>
      <c r="F184" s="4" t="s">
        <v>1788</v>
      </c>
      <c r="G184" s="10" t="n">
        <v>2178.68</v>
      </c>
      <c r="H184" s="10" t="n">
        <v>2178.68</v>
      </c>
      <c r="I184" s="10" t="n">
        <f aca="false">ROUND(H184-G184, 2)</f>
        <v>0</v>
      </c>
    </row>
    <row r="185" customFormat="false" ht="18.75" hidden="false" customHeight="true" outlineLevel="0" collapsed="false">
      <c r="A185" s="7" t="s">
        <v>2013</v>
      </c>
      <c r="B185" s="7" t="s">
        <v>1517</v>
      </c>
      <c r="C185" s="7" t="s">
        <v>2014</v>
      </c>
      <c r="D185" s="7" t="s">
        <v>165</v>
      </c>
      <c r="E185" s="7" t="s">
        <v>1787</v>
      </c>
      <c r="F185" s="7" t="s">
        <v>1788</v>
      </c>
      <c r="G185" s="12" t="n">
        <v>2204.67</v>
      </c>
      <c r="H185" s="12" t="n">
        <v>2204.67</v>
      </c>
      <c r="I185" s="12" t="n">
        <f aca="false">ROUND(H185-G185, 2)</f>
        <v>0</v>
      </c>
    </row>
    <row r="186" customFormat="false" ht="18.75" hidden="false" customHeight="true" outlineLevel="0" collapsed="false">
      <c r="A186" s="4" t="s">
        <v>2015</v>
      </c>
      <c r="B186" s="4" t="s">
        <v>1521</v>
      </c>
      <c r="C186" s="4" t="s">
        <v>2016</v>
      </c>
      <c r="D186" s="4" t="s">
        <v>170</v>
      </c>
      <c r="E186" s="4" t="s">
        <v>1787</v>
      </c>
      <c r="F186" s="4" t="s">
        <v>1788</v>
      </c>
      <c r="G186" s="10" t="n">
        <v>2230.52</v>
      </c>
      <c r="H186" s="10" t="n">
        <v>2230.52</v>
      </c>
      <c r="I186" s="10" t="n">
        <f aca="false">ROUND(H186-G186, 2)</f>
        <v>0</v>
      </c>
    </row>
    <row r="187" customFormat="false" ht="18.75" hidden="false" customHeight="true" outlineLevel="0" collapsed="false">
      <c r="A187" s="7" t="s">
        <v>2017</v>
      </c>
      <c r="B187" s="7" t="s">
        <v>1525</v>
      </c>
      <c r="C187" s="7" t="s">
        <v>2018</v>
      </c>
      <c r="D187" s="7" t="s">
        <v>175</v>
      </c>
      <c r="E187" s="7" t="s">
        <v>1787</v>
      </c>
      <c r="F187" s="7" t="s">
        <v>1788</v>
      </c>
      <c r="G187" s="12" t="n">
        <v>2256.51</v>
      </c>
      <c r="H187" s="12" t="n">
        <v>2256.51</v>
      </c>
      <c r="I187" s="12" t="n">
        <f aca="false">ROUND(H187-G187, 2)</f>
        <v>0</v>
      </c>
    </row>
    <row r="188" customFormat="false" ht="18.75" hidden="false" customHeight="true" outlineLevel="0" collapsed="false">
      <c r="A188" s="4" t="s">
        <v>2019</v>
      </c>
      <c r="B188" s="4" t="s">
        <v>1529</v>
      </c>
      <c r="C188" s="4" t="s">
        <v>2020</v>
      </c>
      <c r="D188" s="4" t="s">
        <v>180</v>
      </c>
      <c r="E188" s="4" t="s">
        <v>1787</v>
      </c>
      <c r="F188" s="4" t="s">
        <v>1788</v>
      </c>
      <c r="G188" s="10" t="n">
        <v>2282.5</v>
      </c>
      <c r="H188" s="10" t="n">
        <v>2282.5</v>
      </c>
      <c r="I188" s="10" t="n">
        <f aca="false">ROUND(H188-G188, 2)</f>
        <v>0</v>
      </c>
    </row>
    <row r="189" customFormat="false" ht="18.75" hidden="false" customHeight="true" outlineLevel="0" collapsed="false">
      <c r="A189" s="7" t="s">
        <v>2021</v>
      </c>
      <c r="B189" s="7" t="s">
        <v>1533</v>
      </c>
      <c r="C189" s="7" t="s">
        <v>2022</v>
      </c>
      <c r="D189" s="7" t="s">
        <v>185</v>
      </c>
      <c r="E189" s="7" t="s">
        <v>1787</v>
      </c>
      <c r="F189" s="7" t="s">
        <v>1788</v>
      </c>
      <c r="G189" s="12" t="n">
        <v>2308.5</v>
      </c>
      <c r="H189" s="12" t="n">
        <v>2308.5</v>
      </c>
      <c r="I189" s="12" t="n">
        <f aca="false">ROUND(H189-G189, 2)</f>
        <v>0</v>
      </c>
    </row>
    <row r="190" customFormat="false" ht="18.75" hidden="false" customHeight="true" outlineLevel="0" collapsed="false">
      <c r="A190" s="4" t="s">
        <v>2023</v>
      </c>
      <c r="B190" s="4" t="s">
        <v>1537</v>
      </c>
      <c r="C190" s="4" t="s">
        <v>2024</v>
      </c>
      <c r="D190" s="4" t="s">
        <v>190</v>
      </c>
      <c r="E190" s="4" t="s">
        <v>1787</v>
      </c>
      <c r="F190" s="4" t="s">
        <v>1788</v>
      </c>
      <c r="G190" s="10" t="n">
        <v>2334.34</v>
      </c>
      <c r="H190" s="10" t="n">
        <v>2334.34</v>
      </c>
      <c r="I190" s="10" t="n">
        <f aca="false">ROUND(H190-G190, 2)</f>
        <v>0</v>
      </c>
    </row>
    <row r="191" customFormat="false" ht="18.75" hidden="false" customHeight="true" outlineLevel="0" collapsed="false">
      <c r="A191" s="7" t="s">
        <v>2025</v>
      </c>
      <c r="B191" s="7" t="s">
        <v>1541</v>
      </c>
      <c r="C191" s="7" t="s">
        <v>2026</v>
      </c>
      <c r="D191" s="7" t="s">
        <v>195</v>
      </c>
      <c r="E191" s="7" t="s">
        <v>1787</v>
      </c>
      <c r="F191" s="7" t="s">
        <v>1788</v>
      </c>
      <c r="G191" s="12" t="n">
        <v>2360.33</v>
      </c>
      <c r="H191" s="12" t="n">
        <v>2360.33</v>
      </c>
      <c r="I191" s="12" t="n">
        <f aca="false">ROUND(H191-G191, 2)</f>
        <v>0</v>
      </c>
    </row>
    <row r="192" customFormat="false" ht="18.75" hidden="false" customHeight="true" outlineLevel="0" collapsed="false">
      <c r="A192" s="4" t="s">
        <v>2027</v>
      </c>
      <c r="B192" s="4" t="s">
        <v>1545</v>
      </c>
      <c r="C192" s="4" t="s">
        <v>2028</v>
      </c>
      <c r="D192" s="4" t="s">
        <v>200</v>
      </c>
      <c r="E192" s="4" t="s">
        <v>1787</v>
      </c>
      <c r="F192" s="4" t="s">
        <v>1788</v>
      </c>
      <c r="G192" s="10" t="n">
        <v>2386.33</v>
      </c>
      <c r="H192" s="10" t="n">
        <v>2386.33</v>
      </c>
      <c r="I192" s="10" t="n">
        <f aca="false">ROUND(H192-G192, 2)</f>
        <v>0</v>
      </c>
    </row>
    <row r="193" customFormat="false" ht="18.75" hidden="false" customHeight="true" outlineLevel="0" collapsed="false">
      <c r="A193" s="7" t="s">
        <v>2029</v>
      </c>
      <c r="B193" s="7" t="s">
        <v>1549</v>
      </c>
      <c r="C193" s="7" t="s">
        <v>2030</v>
      </c>
      <c r="D193" s="7" t="s">
        <v>205</v>
      </c>
      <c r="E193" s="7" t="s">
        <v>1787</v>
      </c>
      <c r="F193" s="7" t="s">
        <v>1788</v>
      </c>
      <c r="G193" s="12" t="n">
        <v>2412.17</v>
      </c>
      <c r="H193" s="12" t="n">
        <v>2412.17</v>
      </c>
      <c r="I193" s="12" t="n">
        <f aca="false">ROUND(H193-G193, 2)</f>
        <v>0</v>
      </c>
    </row>
    <row r="194" customFormat="false" ht="18.75" hidden="false" customHeight="true" outlineLevel="0" collapsed="false">
      <c r="A194" s="4" t="s">
        <v>2031</v>
      </c>
      <c r="B194" s="4" t="s">
        <v>1553</v>
      </c>
      <c r="C194" s="4" t="s">
        <v>2032</v>
      </c>
      <c r="D194" s="4" t="s">
        <v>210</v>
      </c>
      <c r="E194" s="4" t="s">
        <v>1787</v>
      </c>
      <c r="F194" s="4" t="s">
        <v>1788</v>
      </c>
      <c r="G194" s="10" t="n">
        <v>2438.16</v>
      </c>
      <c r="H194" s="10" t="n">
        <v>2438.16</v>
      </c>
      <c r="I194" s="10" t="n">
        <f aca="false">ROUND(H194-G194, 2)</f>
        <v>0</v>
      </c>
    </row>
    <row r="195" customFormat="false" ht="18.75" hidden="false" customHeight="true" outlineLevel="0" collapsed="false">
      <c r="A195" s="7" t="s">
        <v>2033</v>
      </c>
      <c r="B195" s="7" t="s">
        <v>1557</v>
      </c>
      <c r="C195" s="7" t="s">
        <v>2034</v>
      </c>
      <c r="D195" s="7" t="s">
        <v>215</v>
      </c>
      <c r="E195" s="7" t="s">
        <v>1787</v>
      </c>
      <c r="F195" s="7" t="s">
        <v>1788</v>
      </c>
      <c r="G195" s="12" t="n">
        <v>2464.16</v>
      </c>
      <c r="H195" s="12" t="n">
        <v>2464.16</v>
      </c>
      <c r="I195" s="12" t="n">
        <f aca="false">ROUND(H195-G195, 2)</f>
        <v>0</v>
      </c>
    </row>
    <row r="196" customFormat="false" ht="18.75" hidden="false" customHeight="true" outlineLevel="0" collapsed="false">
      <c r="A196" s="4" t="s">
        <v>2035</v>
      </c>
      <c r="B196" s="4" t="s">
        <v>1561</v>
      </c>
      <c r="C196" s="4" t="s">
        <v>2036</v>
      </c>
      <c r="D196" s="4" t="s">
        <v>220</v>
      </c>
      <c r="E196" s="4" t="s">
        <v>1787</v>
      </c>
      <c r="F196" s="4" t="s">
        <v>1788</v>
      </c>
      <c r="G196" s="10" t="n">
        <v>2490</v>
      </c>
      <c r="H196" s="10" t="n">
        <v>2490</v>
      </c>
      <c r="I196" s="10" t="n">
        <f aca="false">ROUND(H196-G196, 2)</f>
        <v>0</v>
      </c>
    </row>
    <row r="197" customFormat="false" ht="18.75" hidden="false" customHeight="true" outlineLevel="0" collapsed="false">
      <c r="A197" s="7" t="s">
        <v>2037</v>
      </c>
      <c r="B197" s="7" t="s">
        <v>2038</v>
      </c>
      <c r="C197" s="7" t="s">
        <v>2039</v>
      </c>
      <c r="D197" s="7" t="s">
        <v>99</v>
      </c>
      <c r="E197" s="7" t="s">
        <v>1787</v>
      </c>
      <c r="F197" s="7" t="s">
        <v>1788</v>
      </c>
      <c r="G197" s="12" t="n">
        <v>2515.99</v>
      </c>
      <c r="H197" s="12" t="n">
        <v>2515.99</v>
      </c>
      <c r="I197" s="12" t="n">
        <f aca="false">ROUND(H197-G197, 2)</f>
        <v>0</v>
      </c>
    </row>
    <row r="198" customFormat="false" ht="18.75" hidden="false" customHeight="true" outlineLevel="0" collapsed="false">
      <c r="A198" s="4" t="s">
        <v>2040</v>
      </c>
      <c r="B198" s="4" t="s">
        <v>2041</v>
      </c>
      <c r="C198" s="4" t="s">
        <v>2042</v>
      </c>
      <c r="D198" s="4" t="s">
        <v>105</v>
      </c>
      <c r="E198" s="4" t="s">
        <v>1787</v>
      </c>
      <c r="F198" s="4" t="s">
        <v>1788</v>
      </c>
      <c r="G198" s="10" t="n">
        <v>2541.99</v>
      </c>
      <c r="H198" s="10" t="n">
        <v>2541.99</v>
      </c>
      <c r="I198" s="10" t="n">
        <f aca="false">ROUND(H198-G198, 2)</f>
        <v>0</v>
      </c>
    </row>
    <row r="199" customFormat="false" ht="18.75" hidden="false" customHeight="true" outlineLevel="0" collapsed="false">
      <c r="A199" s="7" t="s">
        <v>2043</v>
      </c>
      <c r="B199" s="7" t="s">
        <v>2044</v>
      </c>
      <c r="C199" s="7" t="s">
        <v>2045</v>
      </c>
      <c r="D199" s="7" t="s">
        <v>110</v>
      </c>
      <c r="E199" s="7" t="s">
        <v>1787</v>
      </c>
      <c r="F199" s="7" t="s">
        <v>1788</v>
      </c>
      <c r="G199" s="12" t="n">
        <v>2567.98</v>
      </c>
      <c r="H199" s="12" t="n">
        <v>2567.98</v>
      </c>
      <c r="I199" s="12" t="n">
        <f aca="false">ROUND(H199-G199, 2)</f>
        <v>0</v>
      </c>
    </row>
    <row r="200" customFormat="false" ht="18.75" hidden="false" customHeight="true" outlineLevel="0" collapsed="false">
      <c r="A200" s="4" t="s">
        <v>2046</v>
      </c>
      <c r="B200" s="4" t="s">
        <v>2047</v>
      </c>
      <c r="C200" s="4" t="s">
        <v>2048</v>
      </c>
      <c r="D200" s="4" t="s">
        <v>115</v>
      </c>
      <c r="E200" s="4" t="s">
        <v>1787</v>
      </c>
      <c r="F200" s="4" t="s">
        <v>1788</v>
      </c>
      <c r="G200" s="10" t="n">
        <v>2593.82</v>
      </c>
      <c r="H200" s="10" t="n">
        <v>2593.82</v>
      </c>
      <c r="I200" s="10" t="n">
        <f aca="false">ROUND(H200-G200, 2)</f>
        <v>0</v>
      </c>
    </row>
    <row r="201" customFormat="false" ht="18.75" hidden="false" customHeight="true" outlineLevel="0" collapsed="false">
      <c r="A201" s="7" t="s">
        <v>2049</v>
      </c>
      <c r="B201" s="7" t="s">
        <v>2050</v>
      </c>
      <c r="C201" s="7" t="s">
        <v>2051</v>
      </c>
      <c r="D201" s="7" t="s">
        <v>120</v>
      </c>
      <c r="E201" s="7" t="s">
        <v>1787</v>
      </c>
      <c r="F201" s="7" t="s">
        <v>1788</v>
      </c>
      <c r="G201" s="12" t="n">
        <v>2619.82</v>
      </c>
      <c r="H201" s="12" t="n">
        <v>2619.82</v>
      </c>
      <c r="I201" s="12" t="n">
        <f aca="false">ROUND(H201-G201, 2)</f>
        <v>0</v>
      </c>
    </row>
    <row r="202" customFormat="false" ht="21.75" hidden="false" customHeight="true" outlineLevel="0" collapsed="false">
      <c r="A202" s="14" t="s">
        <v>85</v>
      </c>
      <c r="B202" s="14" t="s">
        <v>86</v>
      </c>
      <c r="C202" s="14" t="s">
        <v>86</v>
      </c>
      <c r="D202" s="14" t="s">
        <v>86</v>
      </c>
      <c r="E202" s="14" t="s">
        <v>86</v>
      </c>
      <c r="F202" s="14" t="s">
        <v>86</v>
      </c>
      <c r="G202" s="16" t="n">
        <f aca="false">SUM(G2:G201)</f>
        <v>432970.19</v>
      </c>
      <c r="H202" s="16" t="n">
        <f aca="false">SUM(H2:H201)</f>
        <v>472250.31</v>
      </c>
      <c r="I202" s="16" t="n">
        <f aca="false">SUM(I2:I201)</f>
        <v>39280.12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29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29"/>
  </cols>
  <sheetData>
    <row r="1" customFormat="false" ht="24" hidden="false" customHeight="true" outlineLevel="0" collapsed="false">
      <c r="A1" s="1" t="s">
        <v>89</v>
      </c>
      <c r="B1" s="1" t="s">
        <v>2052</v>
      </c>
      <c r="C1" s="1" t="s">
        <v>2053</v>
      </c>
      <c r="D1" s="1" t="s">
        <v>2054</v>
      </c>
      <c r="E1" s="1" t="s">
        <v>2055</v>
      </c>
      <c r="F1" s="3" t="s">
        <v>2056</v>
      </c>
      <c r="G1" s="3" t="s">
        <v>2057</v>
      </c>
      <c r="H1" s="3" t="s">
        <v>2058</v>
      </c>
      <c r="I1" s="3" t="s">
        <v>2059</v>
      </c>
      <c r="J1" s="3" t="s">
        <v>58</v>
      </c>
    </row>
    <row r="2" customFormat="false" ht="18.75" hidden="false" customHeight="true" outlineLevel="0" collapsed="false">
      <c r="A2" s="4" t="s">
        <v>99</v>
      </c>
      <c r="B2" s="4" t="s">
        <v>2060</v>
      </c>
      <c r="C2" s="4" t="s">
        <v>2061</v>
      </c>
      <c r="D2" s="4" t="s">
        <v>2062</v>
      </c>
      <c r="E2" s="4" t="s">
        <v>2063</v>
      </c>
      <c r="F2" s="21" t="n">
        <v>0.018</v>
      </c>
      <c r="G2" s="10" t="n">
        <v>2</v>
      </c>
      <c r="H2" s="6" t="n">
        <v>400</v>
      </c>
      <c r="I2" s="6" t="n">
        <v>32</v>
      </c>
      <c r="J2" s="10" t="n">
        <v>138536.21</v>
      </c>
    </row>
    <row r="3" customFormat="false" ht="18.75" hidden="false" customHeight="true" outlineLevel="0" collapsed="false">
      <c r="A3" s="7" t="s">
        <v>105</v>
      </c>
      <c r="B3" s="7" t="s">
        <v>2064</v>
      </c>
      <c r="C3" s="7" t="s">
        <v>2065</v>
      </c>
      <c r="D3" s="7" t="s">
        <v>2066</v>
      </c>
      <c r="E3" s="7" t="s">
        <v>2067</v>
      </c>
      <c r="F3" s="22" t="n">
        <v>0.014</v>
      </c>
      <c r="G3" s="12" t="n">
        <v>1.5</v>
      </c>
      <c r="H3" s="8" t="n">
        <v>400</v>
      </c>
      <c r="I3" s="8" t="n">
        <v>32</v>
      </c>
      <c r="J3" s="12" t="n">
        <v>142028.29</v>
      </c>
    </row>
    <row r="4" customFormat="false" ht="18.75" hidden="false" customHeight="true" outlineLevel="0" collapsed="false">
      <c r="A4" s="4" t="s">
        <v>110</v>
      </c>
      <c r="B4" s="4" t="s">
        <v>2068</v>
      </c>
      <c r="C4" s="4" t="s">
        <v>2069</v>
      </c>
      <c r="D4" s="4" t="s">
        <v>2070</v>
      </c>
      <c r="E4" s="4" t="s">
        <v>2071</v>
      </c>
      <c r="F4" s="21" t="n">
        <v>0.022</v>
      </c>
      <c r="G4" s="10" t="n">
        <v>3</v>
      </c>
      <c r="H4" s="6" t="n">
        <v>400</v>
      </c>
      <c r="I4" s="6" t="n">
        <v>32</v>
      </c>
      <c r="J4" s="10" t="n">
        <v>143508.73</v>
      </c>
    </row>
    <row r="5" customFormat="false" ht="18.75" hidden="false" customHeight="true" outlineLevel="0" collapsed="false">
      <c r="A5" s="7" t="s">
        <v>115</v>
      </c>
      <c r="B5" s="7" t="s">
        <v>2072</v>
      </c>
      <c r="C5" s="7" t="s">
        <v>2073</v>
      </c>
      <c r="D5" s="7" t="s">
        <v>2070</v>
      </c>
      <c r="E5" s="7" t="s">
        <v>2074</v>
      </c>
      <c r="F5" s="22" t="n">
        <v>0.0175</v>
      </c>
      <c r="G5" s="12" t="n">
        <v>2</v>
      </c>
      <c r="H5" s="8" t="n">
        <v>400</v>
      </c>
      <c r="I5" s="8" t="n">
        <v>32</v>
      </c>
      <c r="J5" s="12" t="n">
        <v>147110.18</v>
      </c>
    </row>
    <row r="6" customFormat="false" ht="18.75" hidden="false" customHeight="true" outlineLevel="0" collapsed="false">
      <c r="A6" s="4" t="s">
        <v>120</v>
      </c>
      <c r="B6" s="4" t="s">
        <v>2075</v>
      </c>
      <c r="C6" s="4" t="s">
        <v>2076</v>
      </c>
      <c r="D6" s="4" t="s">
        <v>2062</v>
      </c>
      <c r="E6" s="4" t="s">
        <v>2063</v>
      </c>
      <c r="F6" s="21" t="n">
        <v>0.02</v>
      </c>
      <c r="G6" s="10" t="n">
        <v>2.5</v>
      </c>
      <c r="H6" s="6" t="n">
        <v>400</v>
      </c>
      <c r="I6" s="6" t="n">
        <v>32</v>
      </c>
      <c r="J6" s="10" t="n">
        <v>149499.29</v>
      </c>
    </row>
    <row r="7" customFormat="false" ht="18.75" hidden="false" customHeight="true" outlineLevel="0" collapsed="false">
      <c r="A7" s="7" t="s">
        <v>125</v>
      </c>
      <c r="B7" s="7" t="s">
        <v>2077</v>
      </c>
      <c r="C7" s="7" t="s">
        <v>2078</v>
      </c>
      <c r="D7" s="7" t="s">
        <v>2066</v>
      </c>
      <c r="E7" s="7" t="s">
        <v>2067</v>
      </c>
      <c r="F7" s="22" t="n">
        <v>0.019</v>
      </c>
      <c r="G7" s="12" t="n">
        <v>2</v>
      </c>
      <c r="H7" s="8" t="n">
        <v>400</v>
      </c>
      <c r="I7" s="8" t="n">
        <v>32</v>
      </c>
      <c r="J7" s="12" t="n">
        <v>147603.62</v>
      </c>
    </row>
    <row r="8" customFormat="false" ht="18.75" hidden="false" customHeight="true" outlineLevel="0" collapsed="false">
      <c r="A8" s="4" t="s">
        <v>130</v>
      </c>
      <c r="B8" s="4" t="s">
        <v>2079</v>
      </c>
      <c r="C8" s="4" t="s">
        <v>2080</v>
      </c>
      <c r="D8" s="4" t="s">
        <v>2081</v>
      </c>
      <c r="E8" s="4" t="s">
        <v>2071</v>
      </c>
      <c r="F8" s="21" t="n">
        <v>0.015</v>
      </c>
      <c r="G8" s="10" t="n">
        <v>1.5</v>
      </c>
      <c r="H8" s="6" t="n">
        <v>400</v>
      </c>
      <c r="I8" s="6" t="n">
        <v>32</v>
      </c>
      <c r="J8" s="10" t="n">
        <v>151303.73</v>
      </c>
    </row>
    <row r="9" customFormat="false" ht="18.75" hidden="false" customHeight="true" outlineLevel="0" collapsed="false">
      <c r="A9" s="7" t="s">
        <v>135</v>
      </c>
      <c r="B9" s="7" t="s">
        <v>2082</v>
      </c>
      <c r="C9" s="7" t="s">
        <v>2083</v>
      </c>
      <c r="D9" s="7" t="s">
        <v>2062</v>
      </c>
      <c r="E9" s="7" t="s">
        <v>2074</v>
      </c>
      <c r="F9" s="22" t="n">
        <v>0.024</v>
      </c>
      <c r="G9" s="12" t="n">
        <v>3.5</v>
      </c>
      <c r="H9" s="8" t="n">
        <v>400</v>
      </c>
      <c r="I9" s="8" t="n">
        <v>32</v>
      </c>
      <c r="J9" s="12" t="n">
        <v>152670.74</v>
      </c>
    </row>
    <row r="10" customFormat="false" ht="18.75" hidden="false" customHeight="true" outlineLevel="0" collapsed="false">
      <c r="A10" s="4" t="s">
        <v>140</v>
      </c>
      <c r="B10" s="4" t="s">
        <v>2084</v>
      </c>
      <c r="C10" s="4" t="s">
        <v>2080</v>
      </c>
      <c r="D10" s="4" t="s">
        <v>2070</v>
      </c>
      <c r="E10" s="4" t="s">
        <v>2063</v>
      </c>
      <c r="F10" s="21" t="n">
        <v>0.0135</v>
      </c>
      <c r="G10" s="10" t="n">
        <v>1</v>
      </c>
      <c r="H10" s="6" t="n">
        <v>400</v>
      </c>
      <c r="I10" s="6" t="n">
        <v>32</v>
      </c>
      <c r="J10" s="10" t="n">
        <v>157605.14</v>
      </c>
    </row>
    <row r="11" customFormat="false" ht="18.75" hidden="false" customHeight="true" outlineLevel="0" collapsed="false">
      <c r="A11" s="7" t="s">
        <v>145</v>
      </c>
      <c r="B11" s="7" t="s">
        <v>2085</v>
      </c>
      <c r="C11" s="7" t="s">
        <v>2086</v>
      </c>
      <c r="D11" s="7" t="s">
        <v>2066</v>
      </c>
      <c r="E11" s="7" t="s">
        <v>2067</v>
      </c>
      <c r="F11" s="22" t="n">
        <v>0.021</v>
      </c>
      <c r="G11" s="12" t="n">
        <v>2</v>
      </c>
      <c r="H11" s="8" t="n">
        <v>400</v>
      </c>
      <c r="I11" s="8" t="n">
        <v>32</v>
      </c>
      <c r="J11" s="12" t="n">
        <v>159211.95</v>
      </c>
    </row>
    <row r="12" customFormat="false" ht="18.75" hidden="false" customHeight="true" outlineLevel="0" collapsed="false">
      <c r="A12" s="4" t="s">
        <v>150</v>
      </c>
      <c r="B12" s="4" t="s">
        <v>2087</v>
      </c>
      <c r="C12" s="4" t="s">
        <v>2088</v>
      </c>
      <c r="D12" s="4" t="s">
        <v>2070</v>
      </c>
      <c r="E12" s="4" t="s">
        <v>2071</v>
      </c>
      <c r="F12" s="21" t="n">
        <v>0.0185</v>
      </c>
      <c r="G12" s="10" t="n">
        <v>2</v>
      </c>
      <c r="H12" s="6" t="n">
        <v>400</v>
      </c>
      <c r="I12" s="6" t="n">
        <v>32</v>
      </c>
      <c r="J12" s="10" t="n">
        <v>139106.67</v>
      </c>
    </row>
    <row r="13" customFormat="false" ht="18.75" hidden="false" customHeight="true" outlineLevel="0" collapsed="false">
      <c r="A13" s="7" t="s">
        <v>155</v>
      </c>
      <c r="B13" s="7" t="s">
        <v>2089</v>
      </c>
      <c r="C13" s="7" t="s">
        <v>2090</v>
      </c>
      <c r="D13" s="7" t="s">
        <v>2062</v>
      </c>
      <c r="E13" s="7" t="s">
        <v>2074</v>
      </c>
      <c r="F13" s="22" t="n">
        <v>0.016</v>
      </c>
      <c r="G13" s="12" t="n">
        <v>1.5</v>
      </c>
      <c r="H13" s="8" t="n">
        <v>400</v>
      </c>
      <c r="I13" s="8" t="n">
        <v>32</v>
      </c>
      <c r="J13" s="12" t="n">
        <v>142250.42</v>
      </c>
    </row>
    <row r="14" customFormat="false" ht="18.75" hidden="false" customHeight="true" outlineLevel="0" collapsed="false">
      <c r="A14" s="4" t="s">
        <v>160</v>
      </c>
      <c r="B14" s="4" t="s">
        <v>2091</v>
      </c>
      <c r="C14" s="4" t="s">
        <v>2092</v>
      </c>
      <c r="D14" s="4" t="s">
        <v>2093</v>
      </c>
      <c r="E14" s="4" t="s">
        <v>2063</v>
      </c>
      <c r="F14" s="21" t="n">
        <v>0.0195</v>
      </c>
      <c r="G14" s="10" t="n">
        <v>2.5</v>
      </c>
      <c r="H14" s="6" t="n">
        <v>400</v>
      </c>
      <c r="I14" s="6" t="n">
        <v>32</v>
      </c>
      <c r="J14" s="10" t="n">
        <v>144379.81</v>
      </c>
    </row>
    <row r="15" customFormat="false" ht="18.75" hidden="false" customHeight="true" outlineLevel="0" collapsed="false">
      <c r="A15" s="7" t="s">
        <v>165</v>
      </c>
      <c r="B15" s="7" t="s">
        <v>2094</v>
      </c>
      <c r="C15" s="7" t="s">
        <v>2095</v>
      </c>
      <c r="D15" s="7" t="s">
        <v>2070</v>
      </c>
      <c r="E15" s="7" t="s">
        <v>2067</v>
      </c>
      <c r="F15" s="22" t="n">
        <v>0.0155</v>
      </c>
      <c r="G15" s="12" t="n">
        <v>1</v>
      </c>
      <c r="H15" s="8" t="n">
        <v>400</v>
      </c>
      <c r="I15" s="8" t="n">
        <v>32</v>
      </c>
      <c r="J15" s="12" t="n">
        <v>147810.42</v>
      </c>
    </row>
    <row r="16" customFormat="false" ht="18.75" hidden="false" customHeight="true" outlineLevel="0" collapsed="false">
      <c r="A16" s="4" t="s">
        <v>170</v>
      </c>
      <c r="B16" s="4" t="s">
        <v>2096</v>
      </c>
      <c r="C16" s="4" t="s">
        <v>2097</v>
      </c>
      <c r="D16" s="4" t="s">
        <v>2062</v>
      </c>
      <c r="E16" s="4" t="s">
        <v>2071</v>
      </c>
      <c r="F16" s="21" t="n">
        <v>0.025</v>
      </c>
      <c r="G16" s="10" t="n">
        <v>3</v>
      </c>
      <c r="H16" s="6" t="n">
        <v>400</v>
      </c>
      <c r="I16" s="6" t="n">
        <v>32</v>
      </c>
      <c r="J16" s="10" t="n">
        <v>148865.99</v>
      </c>
    </row>
    <row r="17" customFormat="false" ht="18.75" hidden="false" customHeight="true" outlineLevel="0" collapsed="false">
      <c r="A17" s="7" t="s">
        <v>175</v>
      </c>
      <c r="B17" s="7" t="s">
        <v>2098</v>
      </c>
      <c r="C17" s="7" t="s">
        <v>2099</v>
      </c>
      <c r="D17" s="7" t="s">
        <v>2093</v>
      </c>
      <c r="E17" s="7" t="s">
        <v>2074</v>
      </c>
      <c r="F17" s="22" t="n">
        <v>0.0145</v>
      </c>
      <c r="G17" s="12" t="n">
        <v>1.5</v>
      </c>
      <c r="H17" s="8" t="n">
        <v>399</v>
      </c>
      <c r="I17" s="8" t="n">
        <v>31</v>
      </c>
      <c r="J17" s="12" t="n">
        <v>144100.86</v>
      </c>
    </row>
    <row r="18" customFormat="false" ht="18.75" hidden="false" customHeight="true" outlineLevel="0" collapsed="false">
      <c r="A18" s="4" t="s">
        <v>180</v>
      </c>
      <c r="B18" s="4" t="s">
        <v>2100</v>
      </c>
      <c r="C18" s="4" t="s">
        <v>2101</v>
      </c>
      <c r="D18" s="4" t="s">
        <v>2062</v>
      </c>
      <c r="E18" s="4" t="s">
        <v>2063</v>
      </c>
      <c r="F18" s="21" t="n">
        <v>0.0205</v>
      </c>
      <c r="G18" s="10" t="n">
        <v>2.5</v>
      </c>
      <c r="H18" s="6" t="n">
        <v>399</v>
      </c>
      <c r="I18" s="6" t="n">
        <v>31</v>
      </c>
      <c r="J18" s="10" t="n">
        <v>141036.06</v>
      </c>
    </row>
    <row r="19" customFormat="false" ht="18.75" hidden="false" customHeight="true" outlineLevel="0" collapsed="false">
      <c r="A19" s="7" t="s">
        <v>185</v>
      </c>
      <c r="B19" s="7" t="s">
        <v>2102</v>
      </c>
      <c r="C19" s="7" t="s">
        <v>2103</v>
      </c>
      <c r="D19" s="7" t="s">
        <v>2070</v>
      </c>
      <c r="E19" s="7" t="s">
        <v>2067</v>
      </c>
      <c r="F19" s="22" t="n">
        <v>0.023</v>
      </c>
      <c r="G19" s="12" t="n">
        <v>3</v>
      </c>
      <c r="H19" s="8" t="n">
        <v>399</v>
      </c>
      <c r="I19" s="8" t="n">
        <v>31</v>
      </c>
      <c r="J19" s="12" t="n">
        <v>143098.54</v>
      </c>
    </row>
    <row r="20" customFormat="false" ht="18.75" hidden="false" customHeight="true" outlineLevel="0" collapsed="false">
      <c r="A20" s="4" t="s">
        <v>190</v>
      </c>
      <c r="B20" s="4" t="s">
        <v>2104</v>
      </c>
      <c r="C20" s="4" t="s">
        <v>2105</v>
      </c>
      <c r="D20" s="4" t="s">
        <v>2066</v>
      </c>
      <c r="E20" s="4" t="s">
        <v>2071</v>
      </c>
      <c r="F20" s="21" t="n">
        <v>0.017</v>
      </c>
      <c r="G20" s="10" t="n">
        <v>2</v>
      </c>
      <c r="H20" s="6" t="n">
        <v>399</v>
      </c>
      <c r="I20" s="6" t="n">
        <v>31</v>
      </c>
      <c r="J20" s="10" t="n">
        <v>146627.9</v>
      </c>
    </row>
    <row r="21" customFormat="false" ht="18.75" hidden="false" customHeight="true" outlineLevel="0" collapsed="false">
      <c r="A21" s="7" t="s">
        <v>195</v>
      </c>
      <c r="B21" s="7" t="s">
        <v>2106</v>
      </c>
      <c r="C21" s="7" t="s">
        <v>2107</v>
      </c>
      <c r="D21" s="7" t="s">
        <v>2081</v>
      </c>
      <c r="E21" s="7" t="s">
        <v>2074</v>
      </c>
      <c r="F21" s="22" t="n">
        <v>0.0165</v>
      </c>
      <c r="G21" s="12" t="n">
        <v>1.5</v>
      </c>
      <c r="H21" s="8" t="n">
        <v>399</v>
      </c>
      <c r="I21" s="8" t="n">
        <v>31</v>
      </c>
      <c r="J21" s="12" t="n">
        <v>131331.72</v>
      </c>
    </row>
    <row r="22" customFormat="false" ht="18.75" hidden="false" customHeight="true" outlineLevel="0" collapsed="false">
      <c r="A22" s="4" t="s">
        <v>200</v>
      </c>
      <c r="B22" s="4" t="s">
        <v>2108</v>
      </c>
      <c r="C22" s="4" t="s">
        <v>2109</v>
      </c>
      <c r="D22" s="4" t="s">
        <v>2066</v>
      </c>
      <c r="E22" s="4" t="s">
        <v>2063</v>
      </c>
      <c r="F22" s="21" t="n">
        <v>0.0185</v>
      </c>
      <c r="G22" s="10" t="n">
        <v>2</v>
      </c>
      <c r="H22" s="6" t="n">
        <v>399</v>
      </c>
      <c r="I22" s="6" t="n">
        <v>31</v>
      </c>
      <c r="J22" s="10" t="n">
        <v>146142.81</v>
      </c>
    </row>
    <row r="23" customFormat="false" ht="18.75" hidden="false" customHeight="true" outlineLevel="0" collapsed="false">
      <c r="A23" s="7" t="s">
        <v>205</v>
      </c>
      <c r="B23" s="7" t="s">
        <v>2110</v>
      </c>
      <c r="C23" s="7" t="s">
        <v>2111</v>
      </c>
      <c r="D23" s="7" t="s">
        <v>2070</v>
      </c>
      <c r="E23" s="7" t="s">
        <v>2067</v>
      </c>
      <c r="F23" s="22" t="n">
        <v>0.0215</v>
      </c>
      <c r="G23" s="12" t="n">
        <v>2.5</v>
      </c>
      <c r="H23" s="8" t="n">
        <v>399</v>
      </c>
      <c r="I23" s="8" t="n">
        <v>31</v>
      </c>
      <c r="J23" s="12" t="n">
        <v>148401.9</v>
      </c>
    </row>
    <row r="24" customFormat="false" ht="18.75" hidden="false" customHeight="true" outlineLevel="0" collapsed="false">
      <c r="A24" s="4" t="s">
        <v>210</v>
      </c>
      <c r="B24" s="4" t="s">
        <v>2112</v>
      </c>
      <c r="C24" s="4" t="s">
        <v>2113</v>
      </c>
      <c r="D24" s="4" t="s">
        <v>2070</v>
      </c>
      <c r="E24" s="4" t="s">
        <v>2071</v>
      </c>
      <c r="F24" s="21" t="n">
        <v>0.016</v>
      </c>
      <c r="G24" s="10" t="n">
        <v>1.5</v>
      </c>
      <c r="H24" s="6" t="n">
        <v>399</v>
      </c>
      <c r="I24" s="6" t="n">
        <v>31</v>
      </c>
      <c r="J24" s="10" t="n">
        <v>152166.47</v>
      </c>
    </row>
    <row r="25" customFormat="false" ht="18.75" hidden="false" customHeight="true" outlineLevel="0" collapsed="false">
      <c r="A25" s="7" t="s">
        <v>215</v>
      </c>
      <c r="B25" s="7" t="s">
        <v>2114</v>
      </c>
      <c r="C25" s="7" t="s">
        <v>2115</v>
      </c>
      <c r="D25" s="7" t="s">
        <v>2062</v>
      </c>
      <c r="E25" s="7" t="s">
        <v>2074</v>
      </c>
      <c r="F25" s="22" t="n">
        <v>0.0225</v>
      </c>
      <c r="G25" s="12" t="n">
        <v>3</v>
      </c>
      <c r="H25" s="8" t="n">
        <v>399</v>
      </c>
      <c r="I25" s="8" t="n">
        <v>31</v>
      </c>
      <c r="J25" s="12" t="n">
        <v>153768.43</v>
      </c>
    </row>
    <row r="26" customFormat="false" ht="18.75" hidden="false" customHeight="true" outlineLevel="0" collapsed="false">
      <c r="A26" s="4" t="s">
        <v>220</v>
      </c>
      <c r="B26" s="4" t="s">
        <v>2116</v>
      </c>
      <c r="C26" s="4" t="s">
        <v>2117</v>
      </c>
      <c r="D26" s="4" t="s">
        <v>2081</v>
      </c>
      <c r="E26" s="4" t="s">
        <v>2063</v>
      </c>
      <c r="F26" s="21" t="n">
        <v>0.015</v>
      </c>
      <c r="G26" s="10" t="n">
        <v>1.5</v>
      </c>
      <c r="H26" s="6" t="n">
        <v>399</v>
      </c>
      <c r="I26" s="6" t="n">
        <v>31</v>
      </c>
      <c r="J26" s="10" t="n">
        <v>140005.91</v>
      </c>
    </row>
    <row r="27" customFormat="false" ht="21.75" hidden="false" customHeight="true" outlineLevel="0" collapsed="false">
      <c r="A27" s="14" t="s">
        <v>85</v>
      </c>
      <c r="B27" s="14" t="s">
        <v>86</v>
      </c>
      <c r="C27" s="14" t="s">
        <v>86</v>
      </c>
      <c r="D27" s="14" t="s">
        <v>86</v>
      </c>
      <c r="E27" s="14" t="s">
        <v>86</v>
      </c>
      <c r="F27" s="23" t="n">
        <f aca="false">AVERAGE(F2:F26)</f>
        <v>0.01854</v>
      </c>
      <c r="G27" s="16" t="n">
        <f aca="false">SUM(G2:G26)</f>
        <v>52</v>
      </c>
      <c r="H27" s="15" t="n">
        <f aca="false">SUM(H2:H26)</f>
        <v>9990</v>
      </c>
      <c r="I27" s="15" t="n">
        <f aca="false">SUM(I2:I26)</f>
        <v>790</v>
      </c>
      <c r="J27" s="16" t="n">
        <f aca="false">SUM(J2:J26)</f>
        <v>3658171.79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23"/>
    <col collapsed="false" customWidth="true" hidden="false" outlineLevel="0" max="9" min="9" style="0" width="19"/>
    <col collapsed="false" customWidth="true" hidden="false" outlineLevel="0" max="10" min="10" style="0" width="22"/>
    <col collapsed="false" customWidth="true" hidden="false" outlineLevel="0" max="11" min="11" style="0" width="27"/>
  </cols>
  <sheetData>
    <row r="1" customFormat="false" ht="24" hidden="false" customHeight="true" outlineLevel="0" collapsed="false">
      <c r="A1" s="1" t="s">
        <v>2118</v>
      </c>
      <c r="B1" s="3" t="s">
        <v>2119</v>
      </c>
      <c r="C1" s="3" t="s">
        <v>2120</v>
      </c>
      <c r="D1" s="3" t="s">
        <v>2121</v>
      </c>
      <c r="E1" s="3" t="s">
        <v>2122</v>
      </c>
      <c r="F1" s="3" t="s">
        <v>2123</v>
      </c>
      <c r="G1" s="3" t="s">
        <v>2124</v>
      </c>
      <c r="H1" s="3" t="s">
        <v>2125</v>
      </c>
      <c r="I1" s="3" t="s">
        <v>2126</v>
      </c>
      <c r="J1" s="3" t="s">
        <v>2127</v>
      </c>
      <c r="K1" s="3" t="s">
        <v>2128</v>
      </c>
    </row>
    <row r="2" customFormat="false" ht="18.75" hidden="false" customHeight="true" outlineLevel="0" collapsed="false">
      <c r="A2" s="4" t="s">
        <v>2129</v>
      </c>
      <c r="B2" s="6" t="n">
        <v>9955</v>
      </c>
      <c r="C2" s="6" t="n">
        <v>9885</v>
      </c>
      <c r="D2" s="6" t="n">
        <v>45</v>
      </c>
      <c r="E2" s="6" t="n">
        <v>25</v>
      </c>
      <c r="F2" s="6" t="n">
        <f aca="false">B2-(C2+D2+E2)</f>
        <v>0</v>
      </c>
      <c r="G2" s="10" t="n">
        <v>92603168.27</v>
      </c>
      <c r="H2" s="10" t="n">
        <v>92279608.45</v>
      </c>
      <c r="I2" s="10" t="n">
        <v>261072.57</v>
      </c>
      <c r="J2" s="10" t="n">
        <v>62487.25</v>
      </c>
      <c r="K2" s="10" t="n">
        <f aca="false">ROUND(G2-(H2+I2+J2), 2)</f>
        <v>0</v>
      </c>
    </row>
    <row r="3" customFormat="false" ht="18.75" hidden="false" customHeight="true" outlineLevel="0" collapsed="false">
      <c r="A3" s="7" t="s">
        <v>2130</v>
      </c>
      <c r="B3" s="8" t="n">
        <v>10090</v>
      </c>
      <c r="C3" s="8" t="n">
        <v>10065</v>
      </c>
      <c r="D3" s="8" t="n">
        <v>0</v>
      </c>
      <c r="E3" s="8" t="n">
        <v>25</v>
      </c>
      <c r="F3" s="8" t="n">
        <f aca="false">B3-(C3+D3+E3)</f>
        <v>0</v>
      </c>
      <c r="G3" s="12" t="n">
        <v>89957943.34</v>
      </c>
      <c r="H3" s="12" t="n">
        <v>89896891.06</v>
      </c>
      <c r="I3" s="12" t="n">
        <v>0</v>
      </c>
      <c r="J3" s="12" t="n">
        <v>61052.28</v>
      </c>
      <c r="K3" s="12" t="n">
        <f aca="false">ROUND(G3-(H3+I3+J3), 2)</f>
        <v>0</v>
      </c>
    </row>
    <row r="4" customFormat="false" ht="18.75" hidden="false" customHeight="true" outlineLevel="0" collapsed="false">
      <c r="A4" s="4" t="s">
        <v>2131</v>
      </c>
      <c r="B4" s="6" t="n">
        <v>10070</v>
      </c>
      <c r="C4" s="6" t="n">
        <v>10070</v>
      </c>
      <c r="D4" s="6" t="n">
        <v>0</v>
      </c>
      <c r="E4" s="6" t="n">
        <v>0</v>
      </c>
      <c r="F4" s="6" t="n">
        <f aca="false">B4-(C4+D4+E4)</f>
        <v>0</v>
      </c>
      <c r="G4" s="10" t="n">
        <v>90147315.46</v>
      </c>
      <c r="H4" s="10" t="n">
        <v>90147315.46</v>
      </c>
      <c r="I4" s="10" t="n">
        <v>0</v>
      </c>
      <c r="J4" s="10" t="n">
        <v>0</v>
      </c>
      <c r="K4" s="10" t="n">
        <f aca="false">ROUND(G4-(H4+I4+J4), 2)</f>
        <v>0</v>
      </c>
    </row>
    <row r="5" customFormat="false" ht="18.75" hidden="false" customHeight="true" outlineLevel="0" collapsed="false">
      <c r="A5" s="7" t="s">
        <v>2132</v>
      </c>
      <c r="B5" s="8" t="n">
        <v>250</v>
      </c>
      <c r="C5" s="8" t="n">
        <v>250</v>
      </c>
      <c r="D5" s="8" t="n">
        <v>0</v>
      </c>
      <c r="E5" s="8" t="n">
        <v>0</v>
      </c>
      <c r="F5" s="8" t="n">
        <f aca="false">B5-(C5+D5+E5)</f>
        <v>0</v>
      </c>
      <c r="G5" s="12" t="n">
        <v>473860.24</v>
      </c>
      <c r="H5" s="12" t="n">
        <v>473860.24</v>
      </c>
      <c r="I5" s="12" t="n">
        <v>0</v>
      </c>
      <c r="J5" s="12" t="n">
        <v>0</v>
      </c>
      <c r="K5" s="12" t="n">
        <f aca="false">ROUND(G5-(H5+I5+J5), 2)</f>
        <v>0</v>
      </c>
    </row>
    <row r="6" customFormat="false" ht="18.75" hidden="false" customHeight="true" outlineLevel="0" collapsed="false">
      <c r="A6" s="4" t="s">
        <v>2133</v>
      </c>
      <c r="B6" s="6" t="n">
        <v>25</v>
      </c>
      <c r="C6" s="6" t="n">
        <v>25</v>
      </c>
      <c r="D6" s="6" t="n">
        <v>0</v>
      </c>
      <c r="E6" s="6" t="n">
        <v>0</v>
      </c>
      <c r="F6" s="6" t="n">
        <f aca="false">B6-(C6+D6+E6)</f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f aca="false">ROUND(G6-(H6+I6+J6), 2)</f>
        <v>0</v>
      </c>
    </row>
    <row r="7" customFormat="false" ht="21.75" hidden="false" customHeight="true" outlineLevel="0" collapsed="false">
      <c r="A7" s="14" t="s">
        <v>85</v>
      </c>
      <c r="B7" s="15" t="n">
        <f aca="false">SUM(B2:B6)</f>
        <v>30390</v>
      </c>
      <c r="C7" s="15" t="n">
        <f aca="false">SUM(C2:C6)</f>
        <v>30295</v>
      </c>
      <c r="D7" s="15" t="n">
        <f aca="false">SUM(D2:D6)</f>
        <v>45</v>
      </c>
      <c r="E7" s="15" t="n">
        <f aca="false">SUM(E2:E6)</f>
        <v>50</v>
      </c>
      <c r="F7" s="15" t="n">
        <f aca="false">SUM(F2:F6)</f>
        <v>0</v>
      </c>
      <c r="G7" s="16" t="n">
        <f aca="false">SUM(G2:G6)</f>
        <v>273182287.31</v>
      </c>
      <c r="H7" s="16" t="n">
        <f aca="false">SUM(H2:H6)</f>
        <v>272797675.21</v>
      </c>
      <c r="I7" s="16" t="n">
        <f aca="false">SUM(I2:I6)</f>
        <v>261072.57</v>
      </c>
      <c r="J7" s="16" t="n">
        <f aca="false">SUM(J2:J6)</f>
        <v>123539.53</v>
      </c>
      <c r="K7" s="16" t="n">
        <f aca="false">SUM(K2:K6)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8" min="7" style="0" width="22"/>
    <col collapsed="false" customWidth="true" hidden="false" outlineLevel="0" max="9" min="9" style="0" width="26"/>
    <col collapsed="false" customWidth="true" hidden="false" outlineLevel="0" max="10" min="10" style="0" width="23"/>
    <col collapsed="false" customWidth="true" hidden="false" outlineLevel="0" max="11" min="11" style="0" width="26"/>
  </cols>
  <sheetData>
    <row r="1" customFormat="false" ht="24" hidden="false" customHeight="true" outlineLevel="0" collapsed="false">
      <c r="A1" s="1" t="s">
        <v>2134</v>
      </c>
      <c r="B1" s="1" t="s">
        <v>89</v>
      </c>
      <c r="C1" s="1" t="s">
        <v>2055</v>
      </c>
      <c r="D1" s="1" t="s">
        <v>2135</v>
      </c>
      <c r="E1" s="1" t="s">
        <v>2136</v>
      </c>
      <c r="F1" s="2" t="s">
        <v>2137</v>
      </c>
      <c r="G1" s="3" t="s">
        <v>56</v>
      </c>
      <c r="H1" s="3" t="s">
        <v>57</v>
      </c>
      <c r="I1" s="3" t="s">
        <v>2138</v>
      </c>
      <c r="J1" s="3" t="s">
        <v>2139</v>
      </c>
      <c r="K1" s="2" t="s">
        <v>2140</v>
      </c>
    </row>
    <row r="2" customFormat="false" ht="18.75" hidden="false" customHeight="true" outlineLevel="0" collapsed="false">
      <c r="A2" s="4" t="s">
        <v>2141</v>
      </c>
      <c r="B2" s="4" t="s">
        <v>99</v>
      </c>
      <c r="C2" s="4" t="s">
        <v>2063</v>
      </c>
      <c r="D2" s="4" t="s">
        <v>83</v>
      </c>
      <c r="E2" s="4" t="s">
        <v>82</v>
      </c>
      <c r="F2" s="24" t="s">
        <v>2142</v>
      </c>
      <c r="G2" s="10" t="n">
        <v>4180.16</v>
      </c>
      <c r="H2" s="10" t="n">
        <v>4180.16</v>
      </c>
      <c r="I2" s="10" t="n">
        <f aca="false">ROUND(H2-G2, 2)</f>
        <v>0</v>
      </c>
      <c r="J2" s="10" t="n">
        <f aca="false">ABS(I2)</f>
        <v>0</v>
      </c>
      <c r="K2" s="18" t="str">
        <f aca="false">IF(J2&lt;=Config!$B$2, "PASS", "FAIL")</f>
        <v>PASS</v>
      </c>
    </row>
    <row r="3" customFormat="false" ht="18.75" hidden="false" customHeight="true" outlineLevel="0" collapsed="false">
      <c r="A3" s="7" t="s">
        <v>2143</v>
      </c>
      <c r="B3" s="7" t="s">
        <v>105</v>
      </c>
      <c r="C3" s="7" t="s">
        <v>2067</v>
      </c>
      <c r="D3" s="7" t="s">
        <v>83</v>
      </c>
      <c r="E3" s="7" t="s">
        <v>82</v>
      </c>
      <c r="F3" s="24" t="s">
        <v>2142</v>
      </c>
      <c r="G3" s="12" t="n">
        <v>4371.35</v>
      </c>
      <c r="H3" s="12" t="n">
        <v>4371.35</v>
      </c>
      <c r="I3" s="12" t="n">
        <f aca="false">ROUND(H3-G3, 2)</f>
        <v>0</v>
      </c>
      <c r="J3" s="12" t="n">
        <f aca="false">ABS(I3)</f>
        <v>0</v>
      </c>
      <c r="K3" s="19" t="str">
        <f aca="false">IF(J3&lt;=Config!$B$2, "PASS", "FAIL")</f>
        <v>PASS</v>
      </c>
    </row>
    <row r="4" customFormat="false" ht="18.75" hidden="false" customHeight="true" outlineLevel="0" collapsed="false">
      <c r="A4" s="4" t="s">
        <v>2144</v>
      </c>
      <c r="B4" s="4" t="s">
        <v>110</v>
      </c>
      <c r="C4" s="4" t="s">
        <v>2071</v>
      </c>
      <c r="D4" s="4" t="s">
        <v>83</v>
      </c>
      <c r="E4" s="4" t="s">
        <v>82</v>
      </c>
      <c r="F4" s="24" t="s">
        <v>2142</v>
      </c>
      <c r="G4" s="10" t="n">
        <v>4496.39</v>
      </c>
      <c r="H4" s="10" t="n">
        <v>4496.39</v>
      </c>
      <c r="I4" s="10" t="n">
        <f aca="false">ROUND(H4-G4, 2)</f>
        <v>0</v>
      </c>
      <c r="J4" s="10" t="n">
        <f aca="false">ABS(I4)</f>
        <v>0</v>
      </c>
      <c r="K4" s="18" t="str">
        <f aca="false">IF(J4&lt;=Config!$B$2, "PASS", "FAIL")</f>
        <v>PASS</v>
      </c>
    </row>
    <row r="5" customFormat="false" ht="18.75" hidden="false" customHeight="true" outlineLevel="0" collapsed="false">
      <c r="A5" s="7" t="s">
        <v>2145</v>
      </c>
      <c r="B5" s="7" t="s">
        <v>115</v>
      </c>
      <c r="C5" s="7" t="s">
        <v>2074</v>
      </c>
      <c r="D5" s="7" t="s">
        <v>83</v>
      </c>
      <c r="E5" s="7" t="s">
        <v>82</v>
      </c>
      <c r="F5" s="24" t="s">
        <v>2142</v>
      </c>
      <c r="G5" s="12" t="n">
        <v>4690.85</v>
      </c>
      <c r="H5" s="12" t="n">
        <v>4690.85</v>
      </c>
      <c r="I5" s="12" t="n">
        <f aca="false">ROUND(H5-G5, 2)</f>
        <v>0</v>
      </c>
      <c r="J5" s="12" t="n">
        <f aca="false">ABS(I5)</f>
        <v>0</v>
      </c>
      <c r="K5" s="19" t="str">
        <f aca="false">IF(J5&lt;=Config!$B$2, "PASS", "FAIL")</f>
        <v>PASS</v>
      </c>
    </row>
    <row r="6" customFormat="false" ht="18.75" hidden="false" customHeight="true" outlineLevel="0" collapsed="false">
      <c r="A6" s="4" t="s">
        <v>2146</v>
      </c>
      <c r="B6" s="4" t="s">
        <v>120</v>
      </c>
      <c r="C6" s="4" t="s">
        <v>2063</v>
      </c>
      <c r="D6" s="4" t="s">
        <v>83</v>
      </c>
      <c r="E6" s="4" t="s">
        <v>82</v>
      </c>
      <c r="F6" s="24" t="s">
        <v>2142</v>
      </c>
      <c r="G6" s="10" t="n">
        <v>4845.31</v>
      </c>
      <c r="H6" s="10" t="n">
        <v>4845.31</v>
      </c>
      <c r="I6" s="10" t="n">
        <f aca="false">ROUND(H6-G6, 2)</f>
        <v>0</v>
      </c>
      <c r="J6" s="10" t="n">
        <f aca="false">ABS(I6)</f>
        <v>0</v>
      </c>
      <c r="K6" s="18" t="str">
        <f aca="false">IF(J6&lt;=Config!$B$2, "PASS", "FAIL")</f>
        <v>PASS</v>
      </c>
    </row>
    <row r="7" customFormat="false" ht="18.75" hidden="false" customHeight="true" outlineLevel="0" collapsed="false">
      <c r="A7" s="7" t="s">
        <v>2147</v>
      </c>
      <c r="B7" s="7" t="s">
        <v>125</v>
      </c>
      <c r="C7" s="7" t="s">
        <v>2067</v>
      </c>
      <c r="D7" s="7" t="s">
        <v>83</v>
      </c>
      <c r="E7" s="7" t="s">
        <v>82</v>
      </c>
      <c r="F7" s="24" t="s">
        <v>2142</v>
      </c>
      <c r="G7" s="12" t="n">
        <v>5021.16</v>
      </c>
      <c r="H7" s="12" t="n">
        <v>5021.16</v>
      </c>
      <c r="I7" s="12" t="n">
        <f aca="false">ROUND(H7-G7, 2)</f>
        <v>0</v>
      </c>
      <c r="J7" s="12" t="n">
        <f aca="false">ABS(I7)</f>
        <v>0</v>
      </c>
      <c r="K7" s="19" t="str">
        <f aca="false">IF(J7&lt;=Config!$B$2, "PASS", "FAIL")</f>
        <v>PASS</v>
      </c>
    </row>
    <row r="8" customFormat="false" ht="18.75" hidden="false" customHeight="true" outlineLevel="0" collapsed="false">
      <c r="A8" s="4" t="s">
        <v>2148</v>
      </c>
      <c r="B8" s="4" t="s">
        <v>130</v>
      </c>
      <c r="C8" s="4" t="s">
        <v>2071</v>
      </c>
      <c r="D8" s="4" t="s">
        <v>83</v>
      </c>
      <c r="E8" s="4" t="s">
        <v>82</v>
      </c>
      <c r="F8" s="24" t="s">
        <v>2142</v>
      </c>
      <c r="G8" s="10" t="n">
        <v>5215.25</v>
      </c>
      <c r="H8" s="10" t="n">
        <v>5215.25</v>
      </c>
      <c r="I8" s="10" t="n">
        <f aca="false">ROUND(H8-G8, 2)</f>
        <v>0</v>
      </c>
      <c r="J8" s="10" t="n">
        <f aca="false">ABS(I8)</f>
        <v>0</v>
      </c>
      <c r="K8" s="18" t="str">
        <f aca="false">IF(J8&lt;=Config!$B$2, "PASS", "FAIL")</f>
        <v>PASS</v>
      </c>
    </row>
    <row r="9" customFormat="false" ht="18.75" hidden="false" customHeight="true" outlineLevel="0" collapsed="false">
      <c r="A9" s="7" t="s">
        <v>2149</v>
      </c>
      <c r="B9" s="7" t="s">
        <v>135</v>
      </c>
      <c r="C9" s="7" t="s">
        <v>2074</v>
      </c>
      <c r="D9" s="7" t="s">
        <v>83</v>
      </c>
      <c r="E9" s="7" t="s">
        <v>82</v>
      </c>
      <c r="F9" s="24" t="s">
        <v>2142</v>
      </c>
      <c r="G9" s="12" t="n">
        <v>5324.88</v>
      </c>
      <c r="H9" s="12" t="n">
        <v>5324.88</v>
      </c>
      <c r="I9" s="12" t="n">
        <f aca="false">ROUND(H9-G9, 2)</f>
        <v>0</v>
      </c>
      <c r="J9" s="12" t="n">
        <f aca="false">ABS(I9)</f>
        <v>0</v>
      </c>
      <c r="K9" s="19" t="str">
        <f aca="false">IF(J9&lt;=Config!$B$2, "PASS", "FAIL")</f>
        <v>PASS</v>
      </c>
    </row>
    <row r="10" customFormat="false" ht="18.75" hidden="false" customHeight="true" outlineLevel="0" collapsed="false">
      <c r="A10" s="4" t="s">
        <v>2150</v>
      </c>
      <c r="B10" s="4" t="s">
        <v>140</v>
      </c>
      <c r="C10" s="4" t="s">
        <v>2063</v>
      </c>
      <c r="D10" s="4" t="s">
        <v>83</v>
      </c>
      <c r="E10" s="4" t="s">
        <v>82</v>
      </c>
      <c r="F10" s="24" t="s">
        <v>2142</v>
      </c>
      <c r="G10" s="10" t="n">
        <v>5566.3</v>
      </c>
      <c r="H10" s="10" t="n">
        <v>5566.3</v>
      </c>
      <c r="I10" s="10" t="n">
        <f aca="false">ROUND(H10-G10, 2)</f>
        <v>0</v>
      </c>
      <c r="J10" s="10" t="n">
        <f aca="false">ABS(I10)</f>
        <v>0</v>
      </c>
      <c r="K10" s="18" t="str">
        <f aca="false">IF(J10&lt;=Config!$B$2, "PASS", "FAIL")</f>
        <v>PASS</v>
      </c>
    </row>
    <row r="11" customFormat="false" ht="18.75" hidden="false" customHeight="true" outlineLevel="0" collapsed="false">
      <c r="A11" s="7" t="s">
        <v>2151</v>
      </c>
      <c r="B11" s="7" t="s">
        <v>145</v>
      </c>
      <c r="C11" s="7" t="s">
        <v>2067</v>
      </c>
      <c r="D11" s="7" t="s">
        <v>83</v>
      </c>
      <c r="E11" s="7" t="s">
        <v>82</v>
      </c>
      <c r="F11" s="24" t="s">
        <v>2142</v>
      </c>
      <c r="G11" s="12" t="n">
        <v>5684.05</v>
      </c>
      <c r="H11" s="12" t="n">
        <v>5684.05</v>
      </c>
      <c r="I11" s="12" t="n">
        <f aca="false">ROUND(H11-G11, 2)</f>
        <v>0</v>
      </c>
      <c r="J11" s="12" t="n">
        <f aca="false">ABS(I11)</f>
        <v>0</v>
      </c>
      <c r="K11" s="19" t="str">
        <f aca="false">IF(J11&lt;=Config!$B$2, "PASS", "FAIL")</f>
        <v>PASS</v>
      </c>
    </row>
    <row r="12" customFormat="false" ht="18.75" hidden="false" customHeight="true" outlineLevel="0" collapsed="false">
      <c r="A12" s="4" t="s">
        <v>2152</v>
      </c>
      <c r="B12" s="4" t="s">
        <v>150</v>
      </c>
      <c r="C12" s="4" t="s">
        <v>2071</v>
      </c>
      <c r="D12" s="4" t="s">
        <v>83</v>
      </c>
      <c r="E12" s="4" t="s">
        <v>82</v>
      </c>
      <c r="F12" s="24" t="s">
        <v>2142</v>
      </c>
      <c r="G12" s="10" t="n">
        <v>5869.78</v>
      </c>
      <c r="H12" s="10" t="n">
        <v>5869.78</v>
      </c>
      <c r="I12" s="10" t="n">
        <f aca="false">ROUND(H12-G12, 2)</f>
        <v>0</v>
      </c>
      <c r="J12" s="10" t="n">
        <f aca="false">ABS(I12)</f>
        <v>0</v>
      </c>
      <c r="K12" s="18" t="str">
        <f aca="false">IF(J12&lt;=Config!$B$2, "PASS", "FAIL")</f>
        <v>PASS</v>
      </c>
    </row>
    <row r="13" customFormat="false" ht="18.75" hidden="false" customHeight="true" outlineLevel="0" collapsed="false">
      <c r="A13" s="7" t="s">
        <v>2153</v>
      </c>
      <c r="B13" s="7" t="s">
        <v>155</v>
      </c>
      <c r="C13" s="7" t="s">
        <v>2074</v>
      </c>
      <c r="D13" s="7" t="s">
        <v>83</v>
      </c>
      <c r="E13" s="7" t="s">
        <v>82</v>
      </c>
      <c r="F13" s="24" t="s">
        <v>2142</v>
      </c>
      <c r="G13" s="12" t="n">
        <v>6058.1</v>
      </c>
      <c r="H13" s="12" t="n">
        <v>6058.1</v>
      </c>
      <c r="I13" s="12" t="n">
        <f aca="false">ROUND(H13-G13, 2)</f>
        <v>0</v>
      </c>
      <c r="J13" s="12" t="n">
        <f aca="false">ABS(I13)</f>
        <v>0</v>
      </c>
      <c r="K13" s="19" t="str">
        <f aca="false">IF(J13&lt;=Config!$B$2, "PASS", "FAIL")</f>
        <v>PASS</v>
      </c>
    </row>
    <row r="14" customFormat="false" ht="18.75" hidden="false" customHeight="true" outlineLevel="0" collapsed="false">
      <c r="A14" s="4" t="s">
        <v>2154</v>
      </c>
      <c r="B14" s="4" t="s">
        <v>160</v>
      </c>
      <c r="C14" s="4" t="s">
        <v>2063</v>
      </c>
      <c r="D14" s="4" t="s">
        <v>83</v>
      </c>
      <c r="E14" s="4" t="s">
        <v>82</v>
      </c>
      <c r="F14" s="24" t="s">
        <v>2142</v>
      </c>
      <c r="G14" s="10" t="n">
        <v>6200.71</v>
      </c>
      <c r="H14" s="10" t="n">
        <v>6200.71</v>
      </c>
      <c r="I14" s="10" t="n">
        <f aca="false">ROUND(H14-G14, 2)</f>
        <v>0</v>
      </c>
      <c r="J14" s="10" t="n">
        <f aca="false">ABS(I14)</f>
        <v>0</v>
      </c>
      <c r="K14" s="18" t="str">
        <f aca="false">IF(J14&lt;=Config!$B$2, "PASS", "FAIL")</f>
        <v>PASS</v>
      </c>
    </row>
    <row r="15" customFormat="false" ht="18.75" hidden="false" customHeight="true" outlineLevel="0" collapsed="false">
      <c r="A15" s="7" t="s">
        <v>2155</v>
      </c>
      <c r="B15" s="7" t="s">
        <v>165</v>
      </c>
      <c r="C15" s="7" t="s">
        <v>2067</v>
      </c>
      <c r="D15" s="7" t="s">
        <v>83</v>
      </c>
      <c r="E15" s="7" t="s">
        <v>82</v>
      </c>
      <c r="F15" s="24" t="s">
        <v>2142</v>
      </c>
      <c r="G15" s="12" t="n">
        <v>6401.59</v>
      </c>
      <c r="H15" s="12" t="n">
        <v>6401.59</v>
      </c>
      <c r="I15" s="12" t="n">
        <f aca="false">ROUND(H15-G15, 2)</f>
        <v>0</v>
      </c>
      <c r="J15" s="12" t="n">
        <f aca="false">ABS(I15)</f>
        <v>0</v>
      </c>
      <c r="K15" s="19" t="str">
        <f aca="false">IF(J15&lt;=Config!$B$2, "PASS", "FAIL")</f>
        <v>PASS</v>
      </c>
    </row>
    <row r="16" customFormat="false" ht="18.75" hidden="false" customHeight="true" outlineLevel="0" collapsed="false">
      <c r="A16" s="4" t="s">
        <v>2156</v>
      </c>
      <c r="B16" s="4" t="s">
        <v>170</v>
      </c>
      <c r="C16" s="4" t="s">
        <v>2071</v>
      </c>
      <c r="D16" s="4" t="s">
        <v>83</v>
      </c>
      <c r="E16" s="4" t="s">
        <v>82</v>
      </c>
      <c r="F16" s="24" t="s">
        <v>2142</v>
      </c>
      <c r="G16" s="10" t="n">
        <v>6494.3</v>
      </c>
      <c r="H16" s="10" t="n">
        <v>6494.3</v>
      </c>
      <c r="I16" s="10" t="n">
        <f aca="false">ROUND(H16-G16, 2)</f>
        <v>0</v>
      </c>
      <c r="J16" s="10" t="n">
        <f aca="false">ABS(I16)</f>
        <v>0</v>
      </c>
      <c r="K16" s="18" t="str">
        <f aca="false">IF(J16&lt;=Config!$B$2, "PASS", "FAIL")</f>
        <v>PASS</v>
      </c>
    </row>
    <row r="17" customFormat="false" ht="18.75" hidden="false" customHeight="true" outlineLevel="0" collapsed="false">
      <c r="A17" s="7" t="s">
        <v>2157</v>
      </c>
      <c r="B17" s="7" t="s">
        <v>175</v>
      </c>
      <c r="C17" s="7" t="s">
        <v>2074</v>
      </c>
      <c r="D17" s="7" t="s">
        <v>83</v>
      </c>
      <c r="E17" s="7" t="s">
        <v>82</v>
      </c>
      <c r="F17" s="24" t="s">
        <v>2142</v>
      </c>
      <c r="G17" s="12" t="n">
        <v>6749.34</v>
      </c>
      <c r="H17" s="12" t="n">
        <v>6749.34</v>
      </c>
      <c r="I17" s="12" t="n">
        <f aca="false">ROUND(H17-G17, 2)</f>
        <v>0</v>
      </c>
      <c r="J17" s="12" t="n">
        <f aca="false">ABS(I17)</f>
        <v>0</v>
      </c>
      <c r="K17" s="19" t="str">
        <f aca="false">IF(J17&lt;=Config!$B$2, "PASS", "FAIL")</f>
        <v>PASS</v>
      </c>
    </row>
    <row r="18" customFormat="false" ht="18.75" hidden="false" customHeight="true" outlineLevel="0" collapsed="false">
      <c r="A18" s="4" t="s">
        <v>2158</v>
      </c>
      <c r="B18" s="4" t="s">
        <v>180</v>
      </c>
      <c r="C18" s="4" t="s">
        <v>2063</v>
      </c>
      <c r="D18" s="4" t="s">
        <v>83</v>
      </c>
      <c r="E18" s="4" t="s">
        <v>82</v>
      </c>
      <c r="F18" s="24" t="s">
        <v>2142</v>
      </c>
      <c r="G18" s="10" t="n">
        <v>6868.64</v>
      </c>
      <c r="H18" s="10" t="n">
        <v>6868.64</v>
      </c>
      <c r="I18" s="10" t="n">
        <f aca="false">ROUND(H18-G18, 2)</f>
        <v>0</v>
      </c>
      <c r="J18" s="10" t="n">
        <f aca="false">ABS(I18)</f>
        <v>0</v>
      </c>
      <c r="K18" s="18" t="str">
        <f aca="false">IF(J18&lt;=Config!$B$2, "PASS", "FAIL")</f>
        <v>PASS</v>
      </c>
    </row>
    <row r="19" customFormat="false" ht="18.75" hidden="false" customHeight="true" outlineLevel="0" collapsed="false">
      <c r="A19" s="7" t="s">
        <v>2159</v>
      </c>
      <c r="B19" s="7" t="s">
        <v>185</v>
      </c>
      <c r="C19" s="7" t="s">
        <v>2067</v>
      </c>
      <c r="D19" s="7" t="s">
        <v>83</v>
      </c>
      <c r="E19" s="7" t="s">
        <v>82</v>
      </c>
      <c r="F19" s="24" t="s">
        <v>2142</v>
      </c>
      <c r="G19" s="12" t="n">
        <v>7014.88</v>
      </c>
      <c r="H19" s="12" t="n">
        <v>7014.88</v>
      </c>
      <c r="I19" s="12" t="n">
        <f aca="false">ROUND(H19-G19, 2)</f>
        <v>0</v>
      </c>
      <c r="J19" s="12" t="n">
        <f aca="false">ABS(I19)</f>
        <v>0</v>
      </c>
      <c r="K19" s="19" t="str">
        <f aca="false">IF(J19&lt;=Config!$B$2, "PASS", "FAIL")</f>
        <v>PASS</v>
      </c>
    </row>
    <row r="20" customFormat="false" ht="18.75" hidden="false" customHeight="true" outlineLevel="0" collapsed="false">
      <c r="A20" s="4" t="s">
        <v>2160</v>
      </c>
      <c r="B20" s="4" t="s">
        <v>190</v>
      </c>
      <c r="C20" s="4" t="s">
        <v>2071</v>
      </c>
      <c r="D20" s="4" t="s">
        <v>83</v>
      </c>
      <c r="E20" s="4" t="s">
        <v>82</v>
      </c>
      <c r="F20" s="24" t="s">
        <v>2142</v>
      </c>
      <c r="G20" s="10" t="n">
        <v>7236.95</v>
      </c>
      <c r="H20" s="10" t="n">
        <v>7236.95</v>
      </c>
      <c r="I20" s="10" t="n">
        <f aca="false">ROUND(H20-G20, 2)</f>
        <v>0</v>
      </c>
      <c r="J20" s="10" t="n">
        <f aca="false">ABS(I20)</f>
        <v>0</v>
      </c>
      <c r="K20" s="18" t="str">
        <f aca="false">IF(J20&lt;=Config!$B$2, "PASS", "FAIL")</f>
        <v>PASS</v>
      </c>
    </row>
    <row r="21" customFormat="false" ht="18.75" hidden="false" customHeight="true" outlineLevel="0" collapsed="false">
      <c r="A21" s="7" t="s">
        <v>2161</v>
      </c>
      <c r="B21" s="7" t="s">
        <v>195</v>
      </c>
      <c r="C21" s="7" t="s">
        <v>2074</v>
      </c>
      <c r="D21" s="7" t="s">
        <v>83</v>
      </c>
      <c r="E21" s="7" t="s">
        <v>82</v>
      </c>
      <c r="F21" s="24" t="s">
        <v>2142</v>
      </c>
      <c r="G21" s="12" t="n">
        <v>7411.82</v>
      </c>
      <c r="H21" s="12" t="n">
        <v>7411.82</v>
      </c>
      <c r="I21" s="12" t="n">
        <f aca="false">ROUND(H21-G21, 2)</f>
        <v>0</v>
      </c>
      <c r="J21" s="12" t="n">
        <f aca="false">ABS(I21)</f>
        <v>0</v>
      </c>
      <c r="K21" s="19" t="str">
        <f aca="false">IF(J21&lt;=Config!$B$2, "PASS", "FAIL")</f>
        <v>PASS</v>
      </c>
    </row>
    <row r="22" customFormat="false" ht="18.75" hidden="false" customHeight="true" outlineLevel="0" collapsed="false">
      <c r="A22" s="4" t="s">
        <v>2162</v>
      </c>
      <c r="B22" s="4" t="s">
        <v>200</v>
      </c>
      <c r="C22" s="4" t="s">
        <v>2063</v>
      </c>
      <c r="D22" s="4" t="s">
        <v>83</v>
      </c>
      <c r="E22" s="4" t="s">
        <v>82</v>
      </c>
      <c r="F22" s="24" t="s">
        <v>2142</v>
      </c>
      <c r="G22" s="10" t="n">
        <v>7561.92</v>
      </c>
      <c r="H22" s="10" t="n">
        <v>7561.92</v>
      </c>
      <c r="I22" s="10" t="n">
        <f aca="false">ROUND(H22-G22, 2)</f>
        <v>0</v>
      </c>
      <c r="J22" s="10" t="n">
        <f aca="false">ABS(I22)</f>
        <v>0</v>
      </c>
      <c r="K22" s="18" t="str">
        <f aca="false">IF(J22&lt;=Config!$B$2, "PASS", "FAIL")</f>
        <v>PASS</v>
      </c>
    </row>
    <row r="23" customFormat="false" ht="18.75" hidden="false" customHeight="true" outlineLevel="0" collapsed="false">
      <c r="A23" s="7" t="s">
        <v>2163</v>
      </c>
      <c r="B23" s="7" t="s">
        <v>205</v>
      </c>
      <c r="C23" s="7" t="s">
        <v>2067</v>
      </c>
      <c r="D23" s="7" t="s">
        <v>83</v>
      </c>
      <c r="E23" s="7" t="s">
        <v>82</v>
      </c>
      <c r="F23" s="24" t="s">
        <v>2142</v>
      </c>
      <c r="G23" s="12" t="n">
        <v>7702.84</v>
      </c>
      <c r="H23" s="12" t="n">
        <v>7702.84</v>
      </c>
      <c r="I23" s="12" t="n">
        <f aca="false">ROUND(H23-G23, 2)</f>
        <v>0</v>
      </c>
      <c r="J23" s="12" t="n">
        <f aca="false">ABS(I23)</f>
        <v>0</v>
      </c>
      <c r="K23" s="19" t="str">
        <f aca="false">IF(J23&lt;=Config!$B$2, "PASS", "FAIL")</f>
        <v>PASS</v>
      </c>
    </row>
    <row r="24" customFormat="false" ht="18.75" hidden="false" customHeight="true" outlineLevel="0" collapsed="false">
      <c r="A24" s="4" t="s">
        <v>2164</v>
      </c>
      <c r="B24" s="4" t="s">
        <v>210</v>
      </c>
      <c r="C24" s="4" t="s">
        <v>2071</v>
      </c>
      <c r="D24" s="4" t="s">
        <v>83</v>
      </c>
      <c r="E24" s="4" t="s">
        <v>82</v>
      </c>
      <c r="F24" s="24" t="s">
        <v>2142</v>
      </c>
      <c r="G24" s="10" t="n">
        <v>7925.36</v>
      </c>
      <c r="H24" s="10" t="n">
        <v>7925.36</v>
      </c>
      <c r="I24" s="10" t="n">
        <f aca="false">ROUND(H24-G24, 2)</f>
        <v>0</v>
      </c>
      <c r="J24" s="10" t="n">
        <f aca="false">ABS(I24)</f>
        <v>0</v>
      </c>
      <c r="K24" s="18" t="str">
        <f aca="false">IF(J24&lt;=Config!$B$2, "PASS", "FAIL")</f>
        <v>PASS</v>
      </c>
    </row>
    <row r="25" customFormat="false" ht="18.75" hidden="false" customHeight="true" outlineLevel="0" collapsed="false">
      <c r="A25" s="7" t="s">
        <v>2165</v>
      </c>
      <c r="B25" s="7" t="s">
        <v>215</v>
      </c>
      <c r="C25" s="7" t="s">
        <v>2074</v>
      </c>
      <c r="D25" s="7" t="s">
        <v>83</v>
      </c>
      <c r="E25" s="7" t="s">
        <v>82</v>
      </c>
      <c r="F25" s="24" t="s">
        <v>2142</v>
      </c>
      <c r="G25" s="12" t="n">
        <v>8030.31</v>
      </c>
      <c r="H25" s="12" t="n">
        <v>8030.31</v>
      </c>
      <c r="I25" s="12" t="n">
        <f aca="false">ROUND(H25-G25, 2)</f>
        <v>0</v>
      </c>
      <c r="J25" s="12" t="n">
        <f aca="false">ABS(I25)</f>
        <v>0</v>
      </c>
      <c r="K25" s="19" t="str">
        <f aca="false">IF(J25&lt;=Config!$B$2, "PASS", "FAIL")</f>
        <v>PASS</v>
      </c>
    </row>
    <row r="26" customFormat="false" ht="18.75" hidden="false" customHeight="true" outlineLevel="0" collapsed="false">
      <c r="A26" s="4" t="s">
        <v>2166</v>
      </c>
      <c r="B26" s="4" t="s">
        <v>220</v>
      </c>
      <c r="C26" s="4" t="s">
        <v>2063</v>
      </c>
      <c r="D26" s="4" t="s">
        <v>83</v>
      </c>
      <c r="E26" s="4" t="s">
        <v>82</v>
      </c>
      <c r="F26" s="24" t="s">
        <v>2142</v>
      </c>
      <c r="G26" s="10" t="n">
        <v>8274.35</v>
      </c>
      <c r="H26" s="10" t="n">
        <v>8274.35</v>
      </c>
      <c r="I26" s="10" t="n">
        <f aca="false">ROUND(H26-G26, 2)</f>
        <v>0</v>
      </c>
      <c r="J26" s="10" t="n">
        <f aca="false">ABS(I26)</f>
        <v>0</v>
      </c>
      <c r="K26" s="18" t="str">
        <f aca="false">IF(J26&lt;=Config!$B$2, "PASS", "FAIL")</f>
        <v>PASS</v>
      </c>
    </row>
    <row r="27" customFormat="false" ht="18.75" hidden="false" customHeight="true" outlineLevel="0" collapsed="false">
      <c r="A27" s="7" t="s">
        <v>2167</v>
      </c>
      <c r="B27" s="7" t="s">
        <v>99</v>
      </c>
      <c r="C27" s="7" t="s">
        <v>2063</v>
      </c>
      <c r="D27" s="7" t="s">
        <v>83</v>
      </c>
      <c r="E27" s="7" t="s">
        <v>82</v>
      </c>
      <c r="F27" s="24" t="s">
        <v>2142</v>
      </c>
      <c r="G27" s="12" t="n">
        <v>8413.55</v>
      </c>
      <c r="H27" s="12" t="n">
        <v>8413.55</v>
      </c>
      <c r="I27" s="12" t="n">
        <f aca="false">ROUND(H27-G27, 2)</f>
        <v>0</v>
      </c>
      <c r="J27" s="12" t="n">
        <f aca="false">ABS(I27)</f>
        <v>0</v>
      </c>
      <c r="K27" s="19" t="str">
        <f aca="false">IF(J27&lt;=Config!$B$2, "PASS", "FAIL")</f>
        <v>PASS</v>
      </c>
    </row>
    <row r="28" customFormat="false" ht="18.75" hidden="false" customHeight="true" outlineLevel="0" collapsed="false">
      <c r="A28" s="4" t="s">
        <v>2168</v>
      </c>
      <c r="B28" s="4" t="s">
        <v>105</v>
      </c>
      <c r="C28" s="4" t="s">
        <v>2067</v>
      </c>
      <c r="D28" s="4" t="s">
        <v>83</v>
      </c>
      <c r="E28" s="4" t="s">
        <v>82</v>
      </c>
      <c r="F28" s="24" t="s">
        <v>2142</v>
      </c>
      <c r="G28" s="10" t="n">
        <v>8625.14</v>
      </c>
      <c r="H28" s="10" t="n">
        <v>8625.14</v>
      </c>
      <c r="I28" s="10" t="n">
        <f aca="false">ROUND(H28-G28, 2)</f>
        <v>0</v>
      </c>
      <c r="J28" s="10" t="n">
        <f aca="false">ABS(I28)</f>
        <v>0</v>
      </c>
      <c r="K28" s="18" t="str">
        <f aca="false">IF(J28&lt;=Config!$B$2, "PASS", "FAIL")</f>
        <v>PASS</v>
      </c>
    </row>
    <row r="29" customFormat="false" ht="18.75" hidden="false" customHeight="true" outlineLevel="0" collapsed="false">
      <c r="A29" s="7" t="s">
        <v>2169</v>
      </c>
      <c r="B29" s="7" t="s">
        <v>110</v>
      </c>
      <c r="C29" s="7" t="s">
        <v>2071</v>
      </c>
      <c r="D29" s="7" t="s">
        <v>83</v>
      </c>
      <c r="E29" s="7" t="s">
        <v>82</v>
      </c>
      <c r="F29" s="24" t="s">
        <v>2142</v>
      </c>
      <c r="G29" s="12" t="n">
        <v>8708.39</v>
      </c>
      <c r="H29" s="12" t="n">
        <v>8708.39</v>
      </c>
      <c r="I29" s="12" t="n">
        <f aca="false">ROUND(H29-G29, 2)</f>
        <v>0</v>
      </c>
      <c r="J29" s="12" t="n">
        <f aca="false">ABS(I29)</f>
        <v>0</v>
      </c>
      <c r="K29" s="19" t="str">
        <f aca="false">IF(J29&lt;=Config!$B$2, "PASS", "FAIL")</f>
        <v>PASS</v>
      </c>
    </row>
    <row r="30" customFormat="false" ht="18.75" hidden="false" customHeight="true" outlineLevel="0" collapsed="false">
      <c r="A30" s="4" t="s">
        <v>2170</v>
      </c>
      <c r="B30" s="4" t="s">
        <v>115</v>
      </c>
      <c r="C30" s="4" t="s">
        <v>2074</v>
      </c>
      <c r="D30" s="4" t="s">
        <v>83</v>
      </c>
      <c r="E30" s="4" t="s">
        <v>82</v>
      </c>
      <c r="F30" s="24" t="s">
        <v>2142</v>
      </c>
      <c r="G30" s="10" t="n">
        <v>8926.78</v>
      </c>
      <c r="H30" s="10" t="n">
        <v>8926.78</v>
      </c>
      <c r="I30" s="10" t="n">
        <f aca="false">ROUND(H30-G30, 2)</f>
        <v>0</v>
      </c>
      <c r="J30" s="10" t="n">
        <f aca="false">ABS(I30)</f>
        <v>0</v>
      </c>
      <c r="K30" s="18" t="str">
        <f aca="false">IF(J30&lt;=Config!$B$2, "PASS", "FAIL")</f>
        <v>PASS</v>
      </c>
    </row>
    <row r="31" customFormat="false" ht="18.75" hidden="false" customHeight="true" outlineLevel="0" collapsed="false">
      <c r="A31" s="7" t="s">
        <v>2171</v>
      </c>
      <c r="B31" s="7" t="s">
        <v>120</v>
      </c>
      <c r="C31" s="7" t="s">
        <v>2063</v>
      </c>
      <c r="D31" s="7" t="s">
        <v>83</v>
      </c>
      <c r="E31" s="7" t="s">
        <v>82</v>
      </c>
      <c r="F31" s="24" t="s">
        <v>2142</v>
      </c>
      <c r="G31" s="12" t="n">
        <v>9068.49</v>
      </c>
      <c r="H31" s="12" t="n">
        <v>9068.49</v>
      </c>
      <c r="I31" s="12" t="n">
        <f aca="false">ROUND(H31-G31, 2)</f>
        <v>0</v>
      </c>
      <c r="J31" s="12" t="n">
        <f aca="false">ABS(I31)</f>
        <v>0</v>
      </c>
      <c r="K31" s="19" t="str">
        <f aca="false">IF(J31&lt;=Config!$B$2, "PASS", "FAIL")</f>
        <v>PASS</v>
      </c>
    </row>
    <row r="32" customFormat="false" ht="18.75" hidden="false" customHeight="true" outlineLevel="0" collapsed="false">
      <c r="A32" s="4" t="s">
        <v>2172</v>
      </c>
      <c r="B32" s="4" t="s">
        <v>125</v>
      </c>
      <c r="C32" s="4" t="s">
        <v>2067</v>
      </c>
      <c r="D32" s="4" t="s">
        <v>83</v>
      </c>
      <c r="E32" s="4" t="s">
        <v>82</v>
      </c>
      <c r="F32" s="24" t="s">
        <v>2142</v>
      </c>
      <c r="G32" s="10" t="n">
        <v>9249.44</v>
      </c>
      <c r="H32" s="10" t="n">
        <v>9249.44</v>
      </c>
      <c r="I32" s="10" t="n">
        <f aca="false">ROUND(H32-G32, 2)</f>
        <v>0</v>
      </c>
      <c r="J32" s="10" t="n">
        <f aca="false">ABS(I32)</f>
        <v>0</v>
      </c>
      <c r="K32" s="18" t="str">
        <f aca="false">IF(J32&lt;=Config!$B$2, "PASS", "FAIL")</f>
        <v>PASS</v>
      </c>
    </row>
    <row r="33" customFormat="false" ht="18.75" hidden="false" customHeight="true" outlineLevel="0" collapsed="false">
      <c r="A33" s="7" t="s">
        <v>2173</v>
      </c>
      <c r="B33" s="7" t="s">
        <v>130</v>
      </c>
      <c r="C33" s="7" t="s">
        <v>2071</v>
      </c>
      <c r="D33" s="7" t="s">
        <v>83</v>
      </c>
      <c r="E33" s="7" t="s">
        <v>82</v>
      </c>
      <c r="F33" s="24" t="s">
        <v>2142</v>
      </c>
      <c r="G33" s="12" t="n">
        <v>9463.95</v>
      </c>
      <c r="H33" s="12" t="n">
        <v>9463.95</v>
      </c>
      <c r="I33" s="12" t="n">
        <f aca="false">ROUND(H33-G33, 2)</f>
        <v>0</v>
      </c>
      <c r="J33" s="12" t="n">
        <f aca="false">ABS(I33)</f>
        <v>0</v>
      </c>
      <c r="K33" s="19" t="str">
        <f aca="false">IF(J33&lt;=Config!$B$2, "PASS", "FAIL")</f>
        <v>PASS</v>
      </c>
    </row>
    <row r="34" customFormat="false" ht="18.75" hidden="false" customHeight="true" outlineLevel="0" collapsed="false">
      <c r="A34" s="4" t="s">
        <v>2174</v>
      </c>
      <c r="B34" s="4" t="s">
        <v>135</v>
      </c>
      <c r="C34" s="4" t="s">
        <v>2074</v>
      </c>
      <c r="D34" s="4" t="s">
        <v>83</v>
      </c>
      <c r="E34" s="4" t="s">
        <v>82</v>
      </c>
      <c r="F34" s="24" t="s">
        <v>2142</v>
      </c>
      <c r="G34" s="10" t="n">
        <v>9527.63</v>
      </c>
      <c r="H34" s="10" t="n">
        <v>9527.63</v>
      </c>
      <c r="I34" s="10" t="n">
        <f aca="false">ROUND(H34-G34, 2)</f>
        <v>0</v>
      </c>
      <c r="J34" s="10" t="n">
        <f aca="false">ABS(I34)</f>
        <v>0</v>
      </c>
      <c r="K34" s="18" t="str">
        <f aca="false">IF(J34&lt;=Config!$B$2, "PASS", "FAIL")</f>
        <v>PASS</v>
      </c>
    </row>
    <row r="35" customFormat="false" ht="18.75" hidden="false" customHeight="true" outlineLevel="0" collapsed="false">
      <c r="A35" s="7" t="s">
        <v>2175</v>
      </c>
      <c r="B35" s="7" t="s">
        <v>140</v>
      </c>
      <c r="C35" s="7" t="s">
        <v>2063</v>
      </c>
      <c r="D35" s="7" t="s">
        <v>83</v>
      </c>
      <c r="E35" s="7" t="s">
        <v>82</v>
      </c>
      <c r="F35" s="24" t="s">
        <v>2142</v>
      </c>
      <c r="G35" s="12" t="n">
        <v>9822.65</v>
      </c>
      <c r="H35" s="12" t="n">
        <v>9822.65</v>
      </c>
      <c r="I35" s="12" t="n">
        <f aca="false">ROUND(H35-G35, 2)</f>
        <v>0</v>
      </c>
      <c r="J35" s="12" t="n">
        <f aca="false">ABS(I35)</f>
        <v>0</v>
      </c>
      <c r="K35" s="19" t="str">
        <f aca="false">IF(J35&lt;=Config!$B$2, "PASS", "FAIL")</f>
        <v>PASS</v>
      </c>
    </row>
    <row r="36" customFormat="false" ht="18.75" hidden="false" customHeight="true" outlineLevel="0" collapsed="false">
      <c r="A36" s="4" t="s">
        <v>2176</v>
      </c>
      <c r="B36" s="4" t="s">
        <v>145</v>
      </c>
      <c r="C36" s="4" t="s">
        <v>2067</v>
      </c>
      <c r="D36" s="4" t="s">
        <v>83</v>
      </c>
      <c r="E36" s="4" t="s">
        <v>82</v>
      </c>
      <c r="F36" s="24" t="s">
        <v>2142</v>
      </c>
      <c r="G36" s="10" t="n">
        <v>9901.14</v>
      </c>
      <c r="H36" s="10" t="n">
        <v>9901.14</v>
      </c>
      <c r="I36" s="10" t="n">
        <f aca="false">ROUND(H36-G36, 2)</f>
        <v>0</v>
      </c>
      <c r="J36" s="10" t="n">
        <f aca="false">ABS(I36)</f>
        <v>0</v>
      </c>
      <c r="K36" s="18" t="str">
        <f aca="false">IF(J36&lt;=Config!$B$2, "PASS", "FAIL")</f>
        <v>PASS</v>
      </c>
    </row>
    <row r="37" customFormat="false" ht="18.75" hidden="false" customHeight="true" outlineLevel="0" collapsed="false">
      <c r="A37" s="7" t="s">
        <v>2177</v>
      </c>
      <c r="B37" s="7" t="s">
        <v>150</v>
      </c>
      <c r="C37" s="7" t="s">
        <v>2071</v>
      </c>
      <c r="D37" s="7" t="s">
        <v>83</v>
      </c>
      <c r="E37" s="7" t="s">
        <v>82</v>
      </c>
      <c r="F37" s="24" t="s">
        <v>2142</v>
      </c>
      <c r="G37" s="12" t="n">
        <v>10100.61</v>
      </c>
      <c r="H37" s="12" t="n">
        <v>10100.61</v>
      </c>
      <c r="I37" s="12" t="n">
        <f aca="false">ROUND(H37-G37, 2)</f>
        <v>0</v>
      </c>
      <c r="J37" s="12" t="n">
        <f aca="false">ABS(I37)</f>
        <v>0</v>
      </c>
      <c r="K37" s="19" t="str">
        <f aca="false">IF(J37&lt;=Config!$B$2, "PASS", "FAIL")</f>
        <v>PASS</v>
      </c>
    </row>
    <row r="38" customFormat="false" ht="18.75" hidden="false" customHeight="true" outlineLevel="0" collapsed="false">
      <c r="A38" s="4" t="s">
        <v>2178</v>
      </c>
      <c r="B38" s="4" t="s">
        <v>155</v>
      </c>
      <c r="C38" s="4" t="s">
        <v>2074</v>
      </c>
      <c r="D38" s="4" t="s">
        <v>83</v>
      </c>
      <c r="E38" s="4" t="s">
        <v>82</v>
      </c>
      <c r="F38" s="24" t="s">
        <v>2142</v>
      </c>
      <c r="G38" s="10" t="n">
        <v>10301.68</v>
      </c>
      <c r="H38" s="10" t="n">
        <v>10301.68</v>
      </c>
      <c r="I38" s="10" t="n">
        <f aca="false">ROUND(H38-G38, 2)</f>
        <v>0</v>
      </c>
      <c r="J38" s="10" t="n">
        <f aca="false">ABS(I38)</f>
        <v>0</v>
      </c>
      <c r="K38" s="18" t="str">
        <f aca="false">IF(J38&lt;=Config!$B$2, "PASS", "FAIL")</f>
        <v>PASS</v>
      </c>
    </row>
    <row r="39" customFormat="false" ht="18.75" hidden="false" customHeight="true" outlineLevel="0" collapsed="false">
      <c r="A39" s="7" t="s">
        <v>2179</v>
      </c>
      <c r="B39" s="7" t="s">
        <v>160</v>
      </c>
      <c r="C39" s="7" t="s">
        <v>2063</v>
      </c>
      <c r="D39" s="7" t="s">
        <v>83</v>
      </c>
      <c r="E39" s="7" t="s">
        <v>82</v>
      </c>
      <c r="F39" s="24" t="s">
        <v>2142</v>
      </c>
      <c r="G39" s="12" t="n">
        <v>10425.46</v>
      </c>
      <c r="H39" s="12" t="n">
        <v>10425.46</v>
      </c>
      <c r="I39" s="12" t="n">
        <f aca="false">ROUND(H39-G39, 2)</f>
        <v>0</v>
      </c>
      <c r="J39" s="12" t="n">
        <f aca="false">ABS(I39)</f>
        <v>0</v>
      </c>
      <c r="K39" s="19" t="str">
        <f aca="false">IF(J39&lt;=Config!$B$2, "PASS", "FAIL")</f>
        <v>PASS</v>
      </c>
    </row>
    <row r="40" customFormat="false" ht="18.75" hidden="false" customHeight="true" outlineLevel="0" collapsed="false">
      <c r="A40" s="4" t="s">
        <v>2180</v>
      </c>
      <c r="B40" s="4" t="s">
        <v>165</v>
      </c>
      <c r="C40" s="4" t="s">
        <v>2067</v>
      </c>
      <c r="D40" s="4" t="s">
        <v>83</v>
      </c>
      <c r="E40" s="4" t="s">
        <v>82</v>
      </c>
      <c r="F40" s="24" t="s">
        <v>2142</v>
      </c>
      <c r="G40" s="10" t="n">
        <v>10647.74</v>
      </c>
      <c r="H40" s="10" t="n">
        <v>10647.74</v>
      </c>
      <c r="I40" s="10" t="n">
        <f aca="false">ROUND(H40-G40, 2)</f>
        <v>0</v>
      </c>
      <c r="J40" s="10" t="n">
        <f aca="false">ABS(I40)</f>
        <v>0</v>
      </c>
      <c r="K40" s="18" t="str">
        <f aca="false">IF(J40&lt;=Config!$B$2, "PASS", "FAIL")</f>
        <v>PASS</v>
      </c>
    </row>
    <row r="41" customFormat="false" ht="18.75" hidden="false" customHeight="true" outlineLevel="0" collapsed="false">
      <c r="A41" s="7" t="s">
        <v>2181</v>
      </c>
      <c r="B41" s="7" t="s">
        <v>170</v>
      </c>
      <c r="C41" s="7" t="s">
        <v>2071</v>
      </c>
      <c r="D41" s="7" t="s">
        <v>83</v>
      </c>
      <c r="E41" s="7" t="s">
        <v>82</v>
      </c>
      <c r="F41" s="24" t="s">
        <v>2142</v>
      </c>
      <c r="G41" s="12" t="n">
        <v>10691.95</v>
      </c>
      <c r="H41" s="12" t="n">
        <v>10691.95</v>
      </c>
      <c r="I41" s="12" t="n">
        <f aca="false">ROUND(H41-G41, 2)</f>
        <v>0</v>
      </c>
      <c r="J41" s="12" t="n">
        <f aca="false">ABS(I41)</f>
        <v>0</v>
      </c>
      <c r="K41" s="19" t="str">
        <f aca="false">IF(J41&lt;=Config!$B$2, "PASS", "FAIL")</f>
        <v>PASS</v>
      </c>
    </row>
    <row r="42" customFormat="false" ht="18.75" hidden="false" customHeight="true" outlineLevel="0" collapsed="false">
      <c r="A42" s="4" t="s">
        <v>2182</v>
      </c>
      <c r="B42" s="4" t="s">
        <v>175</v>
      </c>
      <c r="C42" s="4" t="s">
        <v>2074</v>
      </c>
      <c r="D42" s="4" t="s">
        <v>83</v>
      </c>
      <c r="E42" s="4" t="s">
        <v>82</v>
      </c>
      <c r="F42" s="24" t="s">
        <v>2142</v>
      </c>
      <c r="G42" s="10" t="n">
        <v>11000.59</v>
      </c>
      <c r="H42" s="10" t="n">
        <v>11000.59</v>
      </c>
      <c r="I42" s="10" t="n">
        <f aca="false">ROUND(H42-G42, 2)</f>
        <v>0</v>
      </c>
      <c r="J42" s="10" t="n">
        <f aca="false">ABS(I42)</f>
        <v>0</v>
      </c>
      <c r="K42" s="18" t="str">
        <f aca="false">IF(J42&lt;=Config!$B$2, "PASS", "FAIL")</f>
        <v>PASS</v>
      </c>
    </row>
    <row r="43" customFormat="false" ht="18.75" hidden="false" customHeight="true" outlineLevel="0" collapsed="false">
      <c r="A43" s="7" t="s">
        <v>2183</v>
      </c>
      <c r="B43" s="7" t="s">
        <v>180</v>
      </c>
      <c r="C43" s="7" t="s">
        <v>2063</v>
      </c>
      <c r="D43" s="7" t="s">
        <v>83</v>
      </c>
      <c r="E43" s="7" t="s">
        <v>82</v>
      </c>
      <c r="F43" s="24" t="s">
        <v>2142</v>
      </c>
      <c r="G43" s="12" t="n">
        <v>11088.28</v>
      </c>
      <c r="H43" s="12" t="n">
        <v>11088.28</v>
      </c>
      <c r="I43" s="12" t="n">
        <f aca="false">ROUND(H43-G43, 2)</f>
        <v>0</v>
      </c>
      <c r="J43" s="12" t="n">
        <f aca="false">ABS(I43)</f>
        <v>0</v>
      </c>
      <c r="K43" s="19" t="str">
        <f aca="false">IF(J43&lt;=Config!$B$2, "PASS", "FAIL")</f>
        <v>PASS</v>
      </c>
    </row>
    <row r="44" customFormat="false" ht="18.75" hidden="false" customHeight="true" outlineLevel="0" collapsed="false">
      <c r="A44" s="4" t="s">
        <v>2184</v>
      </c>
      <c r="B44" s="4" t="s">
        <v>185</v>
      </c>
      <c r="C44" s="4" t="s">
        <v>2067</v>
      </c>
      <c r="D44" s="4" t="s">
        <v>83</v>
      </c>
      <c r="E44" s="4" t="s">
        <v>82</v>
      </c>
      <c r="F44" s="24" t="s">
        <v>2142</v>
      </c>
      <c r="G44" s="10" t="n">
        <v>11222.75</v>
      </c>
      <c r="H44" s="10" t="n">
        <v>11222.75</v>
      </c>
      <c r="I44" s="10" t="n">
        <f aca="false">ROUND(H44-G44, 2)</f>
        <v>0</v>
      </c>
      <c r="J44" s="10" t="n">
        <f aca="false">ABS(I44)</f>
        <v>0</v>
      </c>
      <c r="K44" s="18" t="str">
        <f aca="false">IF(J44&lt;=Config!$B$2, "PASS", "FAIL")</f>
        <v>PASS</v>
      </c>
    </row>
    <row r="45" customFormat="false" ht="18.75" hidden="false" customHeight="true" outlineLevel="0" collapsed="false">
      <c r="A45" s="7" t="s">
        <v>2185</v>
      </c>
      <c r="B45" s="7" t="s">
        <v>190</v>
      </c>
      <c r="C45" s="7" t="s">
        <v>2071</v>
      </c>
      <c r="D45" s="7" t="s">
        <v>83</v>
      </c>
      <c r="E45" s="7" t="s">
        <v>82</v>
      </c>
      <c r="F45" s="24" t="s">
        <v>2142</v>
      </c>
      <c r="G45" s="12" t="n">
        <v>11475.44</v>
      </c>
      <c r="H45" s="12" t="n">
        <v>11475.44</v>
      </c>
      <c r="I45" s="12" t="n">
        <f aca="false">ROUND(H45-G45, 2)</f>
        <v>0</v>
      </c>
      <c r="J45" s="12" t="n">
        <f aca="false">ABS(I45)</f>
        <v>0</v>
      </c>
      <c r="K45" s="19" t="str">
        <f aca="false">IF(J45&lt;=Config!$B$2, "PASS", "FAIL")</f>
        <v>PASS</v>
      </c>
    </row>
    <row r="46" customFormat="false" ht="18.75" hidden="false" customHeight="true" outlineLevel="0" collapsed="false">
      <c r="A46" s="4" t="s">
        <v>2186</v>
      </c>
      <c r="B46" s="4" t="s">
        <v>195</v>
      </c>
      <c r="C46" s="4" t="s">
        <v>2074</v>
      </c>
      <c r="D46" s="4" t="s">
        <v>83</v>
      </c>
      <c r="E46" s="4" t="s">
        <v>82</v>
      </c>
      <c r="F46" s="24" t="s">
        <v>2142</v>
      </c>
      <c r="G46" s="10" t="n">
        <v>11651.88</v>
      </c>
      <c r="H46" s="10" t="n">
        <v>11651.88</v>
      </c>
      <c r="I46" s="10" t="n">
        <f aca="false">ROUND(H46-G46, 2)</f>
        <v>0</v>
      </c>
      <c r="J46" s="10" t="n">
        <f aca="false">ABS(I46)</f>
        <v>0</v>
      </c>
      <c r="K46" s="18" t="str">
        <f aca="false">IF(J46&lt;=Config!$B$2, "PASS", "FAIL")</f>
        <v>PASS</v>
      </c>
    </row>
    <row r="47" customFormat="false" ht="18.75" hidden="false" customHeight="true" outlineLevel="0" collapsed="false">
      <c r="A47" s="7" t="s">
        <v>2187</v>
      </c>
      <c r="B47" s="7" t="s">
        <v>200</v>
      </c>
      <c r="C47" s="7" t="s">
        <v>2063</v>
      </c>
      <c r="D47" s="7" t="s">
        <v>83</v>
      </c>
      <c r="E47" s="7" t="s">
        <v>82</v>
      </c>
      <c r="F47" s="24" t="s">
        <v>2142</v>
      </c>
      <c r="G47" s="12" t="n">
        <v>11792.75</v>
      </c>
      <c r="H47" s="12" t="n">
        <v>11792.75</v>
      </c>
      <c r="I47" s="12" t="n">
        <f aca="false">ROUND(H47-G47, 2)</f>
        <v>0</v>
      </c>
      <c r="J47" s="12" t="n">
        <f aca="false">ABS(I47)</f>
        <v>0</v>
      </c>
      <c r="K47" s="19" t="str">
        <f aca="false">IF(J47&lt;=Config!$B$2, "PASS", "FAIL")</f>
        <v>PASS</v>
      </c>
    </row>
    <row r="48" customFormat="false" ht="18.75" hidden="false" customHeight="true" outlineLevel="0" collapsed="false">
      <c r="A48" s="4" t="s">
        <v>2188</v>
      </c>
      <c r="B48" s="4" t="s">
        <v>205</v>
      </c>
      <c r="C48" s="4" t="s">
        <v>2067</v>
      </c>
      <c r="D48" s="4" t="s">
        <v>83</v>
      </c>
      <c r="E48" s="4" t="s">
        <v>82</v>
      </c>
      <c r="F48" s="24" t="s">
        <v>2142</v>
      </c>
      <c r="G48" s="10" t="n">
        <v>11918.36</v>
      </c>
      <c r="H48" s="10" t="n">
        <v>11918.36</v>
      </c>
      <c r="I48" s="10" t="n">
        <f aca="false">ROUND(H48-G48, 2)</f>
        <v>0</v>
      </c>
      <c r="J48" s="10" t="n">
        <f aca="false">ABS(I48)</f>
        <v>0</v>
      </c>
      <c r="K48" s="18" t="str">
        <f aca="false">IF(J48&lt;=Config!$B$2, "PASS", "FAIL")</f>
        <v>PASS</v>
      </c>
    </row>
    <row r="49" customFormat="false" ht="18.75" hidden="false" customHeight="true" outlineLevel="0" collapsed="false">
      <c r="A49" s="7" t="s">
        <v>2189</v>
      </c>
      <c r="B49" s="7" t="s">
        <v>210</v>
      </c>
      <c r="C49" s="7" t="s">
        <v>2071</v>
      </c>
      <c r="D49" s="7" t="s">
        <v>83</v>
      </c>
      <c r="E49" s="7" t="s">
        <v>82</v>
      </c>
      <c r="F49" s="24" t="s">
        <v>2142</v>
      </c>
      <c r="G49" s="12" t="n">
        <v>12168.94</v>
      </c>
      <c r="H49" s="12" t="n">
        <v>12168.94</v>
      </c>
      <c r="I49" s="12" t="n">
        <f aca="false">ROUND(H49-G49, 2)</f>
        <v>0</v>
      </c>
      <c r="J49" s="12" t="n">
        <f aca="false">ABS(I49)</f>
        <v>0</v>
      </c>
      <c r="K49" s="19" t="str">
        <f aca="false">IF(J49&lt;=Config!$B$2, "PASS", "FAIL")</f>
        <v>PASS</v>
      </c>
    </row>
    <row r="50" customFormat="false" ht="18.75" hidden="false" customHeight="true" outlineLevel="0" collapsed="false">
      <c r="A50" s="4" t="s">
        <v>2190</v>
      </c>
      <c r="B50" s="4" t="s">
        <v>215</v>
      </c>
      <c r="C50" s="4" t="s">
        <v>2074</v>
      </c>
      <c r="D50" s="4" t="s">
        <v>83</v>
      </c>
      <c r="E50" s="4" t="s">
        <v>82</v>
      </c>
      <c r="F50" s="24" t="s">
        <v>2142</v>
      </c>
      <c r="G50" s="10" t="n">
        <v>12239.74</v>
      </c>
      <c r="H50" s="10" t="n">
        <v>12239.74</v>
      </c>
      <c r="I50" s="10" t="n">
        <f aca="false">ROUND(H50-G50, 2)</f>
        <v>0</v>
      </c>
      <c r="J50" s="10" t="n">
        <f aca="false">ABS(I50)</f>
        <v>0</v>
      </c>
      <c r="K50" s="18" t="str">
        <f aca="false">IF(J50&lt;=Config!$B$2, "PASS", "FAIL")</f>
        <v>PASS</v>
      </c>
    </row>
    <row r="51" customFormat="false" ht="18.75" hidden="false" customHeight="true" outlineLevel="0" collapsed="false">
      <c r="A51" s="7" t="s">
        <v>2191</v>
      </c>
      <c r="B51" s="7" t="s">
        <v>220</v>
      </c>
      <c r="C51" s="7" t="s">
        <v>2063</v>
      </c>
      <c r="D51" s="7" t="s">
        <v>83</v>
      </c>
      <c r="E51" s="7" t="s">
        <v>82</v>
      </c>
      <c r="F51" s="24" t="s">
        <v>2142</v>
      </c>
      <c r="G51" s="12" t="n">
        <v>12523.04</v>
      </c>
      <c r="H51" s="12" t="n">
        <v>12523.04</v>
      </c>
      <c r="I51" s="12" t="n">
        <f aca="false">ROUND(H51-G51, 2)</f>
        <v>0</v>
      </c>
      <c r="J51" s="12" t="n">
        <f aca="false">ABS(I51)</f>
        <v>0</v>
      </c>
      <c r="K51" s="19" t="str">
        <f aca="false">IF(J51&lt;=Config!$B$2, "PASS", "FAIL")</f>
        <v>PASS</v>
      </c>
    </row>
    <row r="52" customFormat="false" ht="18.75" hidden="false" customHeight="true" outlineLevel="0" collapsed="false">
      <c r="A52" s="4" t="s">
        <v>2192</v>
      </c>
      <c r="B52" s="4" t="s">
        <v>99</v>
      </c>
      <c r="C52" s="4" t="s">
        <v>2063</v>
      </c>
      <c r="D52" s="4" t="s">
        <v>83</v>
      </c>
      <c r="E52" s="4" t="s">
        <v>82</v>
      </c>
      <c r="F52" s="24" t="s">
        <v>2142</v>
      </c>
      <c r="G52" s="10" t="n">
        <v>12646.93</v>
      </c>
      <c r="H52" s="10" t="n">
        <v>12646.93</v>
      </c>
      <c r="I52" s="10" t="n">
        <f aca="false">ROUND(H52-G52, 2)</f>
        <v>0</v>
      </c>
      <c r="J52" s="10" t="n">
        <f aca="false">ABS(I52)</f>
        <v>0</v>
      </c>
      <c r="K52" s="18" t="str">
        <f aca="false">IF(J52&lt;=Config!$B$2, "PASS", "FAIL")</f>
        <v>PASS</v>
      </c>
    </row>
    <row r="53" customFormat="false" ht="18.75" hidden="false" customHeight="true" outlineLevel="0" collapsed="false">
      <c r="A53" s="7" t="s">
        <v>2193</v>
      </c>
      <c r="B53" s="7" t="s">
        <v>105</v>
      </c>
      <c r="C53" s="7" t="s">
        <v>2067</v>
      </c>
      <c r="D53" s="7" t="s">
        <v>83</v>
      </c>
      <c r="E53" s="7" t="s">
        <v>82</v>
      </c>
      <c r="F53" s="24" t="s">
        <v>2142</v>
      </c>
      <c r="G53" s="12" t="n">
        <v>12877.96</v>
      </c>
      <c r="H53" s="12" t="n">
        <v>12877.96</v>
      </c>
      <c r="I53" s="12" t="n">
        <f aca="false">ROUND(H53-G53, 2)</f>
        <v>0</v>
      </c>
      <c r="J53" s="12" t="n">
        <f aca="false">ABS(I53)</f>
        <v>0</v>
      </c>
      <c r="K53" s="19" t="str">
        <f aca="false">IF(J53&lt;=Config!$B$2, "PASS", "FAIL")</f>
        <v>PASS</v>
      </c>
    </row>
    <row r="54" customFormat="false" ht="18.75" hidden="false" customHeight="true" outlineLevel="0" collapsed="false">
      <c r="A54" s="4" t="s">
        <v>2194</v>
      </c>
      <c r="B54" s="4" t="s">
        <v>110</v>
      </c>
      <c r="C54" s="4" t="s">
        <v>2071</v>
      </c>
      <c r="D54" s="4" t="s">
        <v>83</v>
      </c>
      <c r="E54" s="4" t="s">
        <v>82</v>
      </c>
      <c r="F54" s="24" t="s">
        <v>2142</v>
      </c>
      <c r="G54" s="10" t="n">
        <v>12921.35</v>
      </c>
      <c r="H54" s="10" t="n">
        <v>12921.35</v>
      </c>
      <c r="I54" s="10" t="n">
        <f aca="false">ROUND(H54-G54, 2)</f>
        <v>0</v>
      </c>
      <c r="J54" s="10" t="n">
        <f aca="false">ABS(I54)</f>
        <v>0</v>
      </c>
      <c r="K54" s="18" t="str">
        <f aca="false">IF(J54&lt;=Config!$B$2, "PASS", "FAIL")</f>
        <v>PASS</v>
      </c>
    </row>
    <row r="55" customFormat="false" ht="18.75" hidden="false" customHeight="true" outlineLevel="0" collapsed="false">
      <c r="A55" s="7" t="s">
        <v>2195</v>
      </c>
      <c r="B55" s="7" t="s">
        <v>115</v>
      </c>
      <c r="C55" s="7" t="s">
        <v>2074</v>
      </c>
      <c r="D55" s="7" t="s">
        <v>83</v>
      </c>
      <c r="E55" s="7" t="s">
        <v>82</v>
      </c>
      <c r="F55" s="24" t="s">
        <v>2142</v>
      </c>
      <c r="G55" s="12" t="n">
        <v>13162.7</v>
      </c>
      <c r="H55" s="12" t="n">
        <v>13162.7</v>
      </c>
      <c r="I55" s="12" t="n">
        <f aca="false">ROUND(H55-G55, 2)</f>
        <v>0</v>
      </c>
      <c r="J55" s="12" t="n">
        <f aca="false">ABS(I55)</f>
        <v>0</v>
      </c>
      <c r="K55" s="19" t="str">
        <f aca="false">IF(J55&lt;=Config!$B$2, "PASS", "FAIL")</f>
        <v>PASS</v>
      </c>
    </row>
    <row r="56" customFormat="false" ht="18.75" hidden="false" customHeight="true" outlineLevel="0" collapsed="false">
      <c r="A56" s="4" t="s">
        <v>2196</v>
      </c>
      <c r="B56" s="4" t="s">
        <v>120</v>
      </c>
      <c r="C56" s="4" t="s">
        <v>2063</v>
      </c>
      <c r="D56" s="4" t="s">
        <v>83</v>
      </c>
      <c r="E56" s="4" t="s">
        <v>82</v>
      </c>
      <c r="F56" s="24" t="s">
        <v>2142</v>
      </c>
      <c r="G56" s="10" t="n">
        <v>13291.66</v>
      </c>
      <c r="H56" s="10" t="n">
        <v>13291.66</v>
      </c>
      <c r="I56" s="10" t="n">
        <f aca="false">ROUND(H56-G56, 2)</f>
        <v>0</v>
      </c>
      <c r="J56" s="10" t="n">
        <f aca="false">ABS(I56)</f>
        <v>0</v>
      </c>
      <c r="K56" s="18" t="str">
        <f aca="false">IF(J56&lt;=Config!$B$2, "PASS", "FAIL")</f>
        <v>PASS</v>
      </c>
    </row>
    <row r="57" customFormat="false" ht="18.75" hidden="false" customHeight="true" outlineLevel="0" collapsed="false">
      <c r="A57" s="7" t="s">
        <v>2197</v>
      </c>
      <c r="B57" s="7" t="s">
        <v>125</v>
      </c>
      <c r="C57" s="7" t="s">
        <v>2067</v>
      </c>
      <c r="D57" s="7" t="s">
        <v>83</v>
      </c>
      <c r="E57" s="7" t="s">
        <v>82</v>
      </c>
      <c r="F57" s="24" t="s">
        <v>2142</v>
      </c>
      <c r="G57" s="12" t="n">
        <v>13476.74</v>
      </c>
      <c r="H57" s="12" t="n">
        <v>13476.74</v>
      </c>
      <c r="I57" s="12" t="n">
        <f aca="false">ROUND(H57-G57, 2)</f>
        <v>0</v>
      </c>
      <c r="J57" s="12" t="n">
        <f aca="false">ABS(I57)</f>
        <v>0</v>
      </c>
      <c r="K57" s="19" t="str">
        <f aca="false">IF(J57&lt;=Config!$B$2, "PASS", "FAIL")</f>
        <v>PASS</v>
      </c>
    </row>
    <row r="58" customFormat="false" ht="18.75" hidden="false" customHeight="true" outlineLevel="0" collapsed="false">
      <c r="A58" s="4" t="s">
        <v>2198</v>
      </c>
      <c r="B58" s="4" t="s">
        <v>130</v>
      </c>
      <c r="C58" s="4" t="s">
        <v>2071</v>
      </c>
      <c r="D58" s="4" t="s">
        <v>83</v>
      </c>
      <c r="E58" s="4" t="s">
        <v>82</v>
      </c>
      <c r="F58" s="24" t="s">
        <v>2142</v>
      </c>
      <c r="G58" s="10" t="n">
        <v>13712.64</v>
      </c>
      <c r="H58" s="10" t="n">
        <v>13712.64</v>
      </c>
      <c r="I58" s="10" t="n">
        <f aca="false">ROUND(H58-G58, 2)</f>
        <v>0</v>
      </c>
      <c r="J58" s="10" t="n">
        <f aca="false">ABS(I58)</f>
        <v>0</v>
      </c>
      <c r="K58" s="18" t="str">
        <f aca="false">IF(J58&lt;=Config!$B$2, "PASS", "FAIL")</f>
        <v>PASS</v>
      </c>
    </row>
    <row r="59" customFormat="false" ht="18.75" hidden="false" customHeight="true" outlineLevel="0" collapsed="false">
      <c r="A59" s="7" t="s">
        <v>2199</v>
      </c>
      <c r="B59" s="7" t="s">
        <v>135</v>
      </c>
      <c r="C59" s="7" t="s">
        <v>2074</v>
      </c>
      <c r="D59" s="7" t="s">
        <v>83</v>
      </c>
      <c r="E59" s="7" t="s">
        <v>82</v>
      </c>
      <c r="F59" s="24" t="s">
        <v>2142</v>
      </c>
      <c r="G59" s="12" t="n">
        <v>13730.39</v>
      </c>
      <c r="H59" s="12" t="n">
        <v>13730.39</v>
      </c>
      <c r="I59" s="12" t="n">
        <f aca="false">ROUND(H59-G59, 2)</f>
        <v>0</v>
      </c>
      <c r="J59" s="12" t="n">
        <f aca="false">ABS(I59)</f>
        <v>0</v>
      </c>
      <c r="K59" s="19" t="str">
        <f aca="false">IF(J59&lt;=Config!$B$2, "PASS", "FAIL")</f>
        <v>PASS</v>
      </c>
    </row>
    <row r="60" customFormat="false" ht="18.75" hidden="false" customHeight="true" outlineLevel="0" collapsed="false">
      <c r="A60" s="4" t="s">
        <v>2200</v>
      </c>
      <c r="B60" s="4" t="s">
        <v>140</v>
      </c>
      <c r="C60" s="4" t="s">
        <v>2063</v>
      </c>
      <c r="D60" s="4" t="s">
        <v>83</v>
      </c>
      <c r="E60" s="4" t="s">
        <v>82</v>
      </c>
      <c r="F60" s="24" t="s">
        <v>2142</v>
      </c>
      <c r="G60" s="10" t="n">
        <v>14078.01</v>
      </c>
      <c r="H60" s="10" t="n">
        <v>14078.01</v>
      </c>
      <c r="I60" s="10" t="n">
        <f aca="false">ROUND(H60-G60, 2)</f>
        <v>0</v>
      </c>
      <c r="J60" s="10" t="n">
        <f aca="false">ABS(I60)</f>
        <v>0</v>
      </c>
      <c r="K60" s="18" t="str">
        <f aca="false">IF(J60&lt;=Config!$B$2, "PASS", "FAIL")</f>
        <v>PASS</v>
      </c>
    </row>
    <row r="61" customFormat="false" ht="18.75" hidden="false" customHeight="true" outlineLevel="0" collapsed="false">
      <c r="A61" s="7" t="s">
        <v>2201</v>
      </c>
      <c r="B61" s="7" t="s">
        <v>145</v>
      </c>
      <c r="C61" s="7" t="s">
        <v>2067</v>
      </c>
      <c r="D61" s="7" t="s">
        <v>83</v>
      </c>
      <c r="E61" s="7" t="s">
        <v>82</v>
      </c>
      <c r="F61" s="24" t="s">
        <v>2142</v>
      </c>
      <c r="G61" s="12" t="n">
        <v>14119.21</v>
      </c>
      <c r="H61" s="12" t="n">
        <v>14119.21</v>
      </c>
      <c r="I61" s="12" t="n">
        <f aca="false">ROUND(H61-G61, 2)</f>
        <v>0</v>
      </c>
      <c r="J61" s="12" t="n">
        <f aca="false">ABS(I61)</f>
        <v>0</v>
      </c>
      <c r="K61" s="19" t="str">
        <f aca="false">IF(J61&lt;=Config!$B$2, "PASS", "FAIL")</f>
        <v>PASS</v>
      </c>
    </row>
    <row r="62" customFormat="false" ht="18.75" hidden="false" customHeight="true" outlineLevel="0" collapsed="false">
      <c r="A62" s="4" t="s">
        <v>2202</v>
      </c>
      <c r="B62" s="4" t="s">
        <v>150</v>
      </c>
      <c r="C62" s="4" t="s">
        <v>2071</v>
      </c>
      <c r="D62" s="4" t="s">
        <v>83</v>
      </c>
      <c r="E62" s="4" t="s">
        <v>82</v>
      </c>
      <c r="F62" s="24" t="s">
        <v>2142</v>
      </c>
      <c r="G62" s="10" t="n">
        <v>14331.44</v>
      </c>
      <c r="H62" s="10" t="n">
        <v>14331.44</v>
      </c>
      <c r="I62" s="10" t="n">
        <f aca="false">ROUND(H62-G62, 2)</f>
        <v>0</v>
      </c>
      <c r="J62" s="10" t="n">
        <f aca="false">ABS(I62)</f>
        <v>0</v>
      </c>
      <c r="K62" s="18" t="str">
        <f aca="false">IF(J62&lt;=Config!$B$2, "PASS", "FAIL")</f>
        <v>PASS</v>
      </c>
    </row>
    <row r="63" customFormat="false" ht="18.75" hidden="false" customHeight="true" outlineLevel="0" collapsed="false">
      <c r="A63" s="7" t="s">
        <v>2203</v>
      </c>
      <c r="B63" s="7" t="s">
        <v>155</v>
      </c>
      <c r="C63" s="7" t="s">
        <v>2074</v>
      </c>
      <c r="D63" s="7" t="s">
        <v>83</v>
      </c>
      <c r="E63" s="7" t="s">
        <v>82</v>
      </c>
      <c r="F63" s="24" t="s">
        <v>2142</v>
      </c>
      <c r="G63" s="12" t="n">
        <v>14545.28</v>
      </c>
      <c r="H63" s="12" t="n">
        <v>14545.28</v>
      </c>
      <c r="I63" s="12" t="n">
        <f aca="false">ROUND(H63-G63, 2)</f>
        <v>0</v>
      </c>
      <c r="J63" s="12" t="n">
        <f aca="false">ABS(I63)</f>
        <v>0</v>
      </c>
      <c r="K63" s="19" t="str">
        <f aca="false">IF(J63&lt;=Config!$B$2, "PASS", "FAIL")</f>
        <v>PASS</v>
      </c>
    </row>
    <row r="64" customFormat="false" ht="18.75" hidden="false" customHeight="true" outlineLevel="0" collapsed="false">
      <c r="A64" s="4" t="s">
        <v>2204</v>
      </c>
      <c r="B64" s="4" t="s">
        <v>160</v>
      </c>
      <c r="C64" s="4" t="s">
        <v>2063</v>
      </c>
      <c r="D64" s="4" t="s">
        <v>83</v>
      </c>
      <c r="E64" s="4" t="s">
        <v>82</v>
      </c>
      <c r="F64" s="24" t="s">
        <v>2142</v>
      </c>
      <c r="G64" s="10" t="n">
        <v>14651.18</v>
      </c>
      <c r="H64" s="10" t="n">
        <v>14651.18</v>
      </c>
      <c r="I64" s="10" t="n">
        <f aca="false">ROUND(H64-G64, 2)</f>
        <v>0</v>
      </c>
      <c r="J64" s="10" t="n">
        <f aca="false">ABS(I64)</f>
        <v>0</v>
      </c>
      <c r="K64" s="18" t="str">
        <f aca="false">IF(J64&lt;=Config!$B$2, "PASS", "FAIL")</f>
        <v>PASS</v>
      </c>
    </row>
    <row r="65" customFormat="false" ht="18.75" hidden="false" customHeight="true" outlineLevel="0" collapsed="false">
      <c r="A65" s="7" t="s">
        <v>2205</v>
      </c>
      <c r="B65" s="7" t="s">
        <v>165</v>
      </c>
      <c r="C65" s="7" t="s">
        <v>2067</v>
      </c>
      <c r="D65" s="7" t="s">
        <v>83</v>
      </c>
      <c r="E65" s="7" t="s">
        <v>82</v>
      </c>
      <c r="F65" s="24" t="s">
        <v>2142</v>
      </c>
      <c r="G65" s="12" t="n">
        <v>14893.88</v>
      </c>
      <c r="H65" s="12" t="n">
        <v>14893.88</v>
      </c>
      <c r="I65" s="12" t="n">
        <f aca="false">ROUND(H65-G65, 2)</f>
        <v>0</v>
      </c>
      <c r="J65" s="12" t="n">
        <f aca="false">ABS(I65)</f>
        <v>0</v>
      </c>
      <c r="K65" s="19" t="str">
        <f aca="false">IF(J65&lt;=Config!$B$2, "PASS", "FAIL")</f>
        <v>PASS</v>
      </c>
    </row>
    <row r="66" customFormat="false" ht="18.75" hidden="false" customHeight="true" outlineLevel="0" collapsed="false">
      <c r="A66" s="4" t="s">
        <v>2206</v>
      </c>
      <c r="B66" s="4" t="s">
        <v>170</v>
      </c>
      <c r="C66" s="4" t="s">
        <v>2071</v>
      </c>
      <c r="D66" s="4" t="s">
        <v>83</v>
      </c>
      <c r="E66" s="4" t="s">
        <v>82</v>
      </c>
      <c r="F66" s="24" t="s">
        <v>2142</v>
      </c>
      <c r="G66" s="10" t="n">
        <v>14889.6</v>
      </c>
      <c r="H66" s="10" t="n">
        <v>14889.6</v>
      </c>
      <c r="I66" s="10" t="n">
        <f aca="false">ROUND(H66-G66, 2)</f>
        <v>0</v>
      </c>
      <c r="J66" s="10" t="n">
        <f aca="false">ABS(I66)</f>
        <v>0</v>
      </c>
      <c r="K66" s="18" t="str">
        <f aca="false">IF(J66&lt;=Config!$B$2, "PASS", "FAIL")</f>
        <v>PASS</v>
      </c>
    </row>
    <row r="67" customFormat="false" ht="18.75" hidden="false" customHeight="true" outlineLevel="0" collapsed="false">
      <c r="A67" s="7" t="s">
        <v>2207</v>
      </c>
      <c r="B67" s="7" t="s">
        <v>175</v>
      </c>
      <c r="C67" s="7" t="s">
        <v>2074</v>
      </c>
      <c r="D67" s="7" t="s">
        <v>83</v>
      </c>
      <c r="E67" s="7" t="s">
        <v>82</v>
      </c>
      <c r="F67" s="24" t="s">
        <v>2142</v>
      </c>
      <c r="G67" s="12" t="n">
        <v>15250.86</v>
      </c>
      <c r="H67" s="12" t="n">
        <v>15250.86</v>
      </c>
      <c r="I67" s="12" t="n">
        <f aca="false">ROUND(H67-G67, 2)</f>
        <v>0</v>
      </c>
      <c r="J67" s="12" t="n">
        <f aca="false">ABS(I67)</f>
        <v>0</v>
      </c>
      <c r="K67" s="19" t="str">
        <f aca="false">IF(J67&lt;=Config!$B$2, "PASS", "FAIL")</f>
        <v>PASS</v>
      </c>
    </row>
    <row r="68" customFormat="false" ht="18.75" hidden="false" customHeight="true" outlineLevel="0" collapsed="false">
      <c r="A68" s="4" t="s">
        <v>2208</v>
      </c>
      <c r="B68" s="4" t="s">
        <v>180</v>
      </c>
      <c r="C68" s="4" t="s">
        <v>2063</v>
      </c>
      <c r="D68" s="4" t="s">
        <v>83</v>
      </c>
      <c r="E68" s="4" t="s">
        <v>82</v>
      </c>
      <c r="F68" s="24" t="s">
        <v>2142</v>
      </c>
      <c r="G68" s="10" t="n">
        <v>15308.91</v>
      </c>
      <c r="H68" s="10" t="n">
        <v>15308.91</v>
      </c>
      <c r="I68" s="10" t="n">
        <f aca="false">ROUND(H68-G68, 2)</f>
        <v>0</v>
      </c>
      <c r="J68" s="10" t="n">
        <f aca="false">ABS(I68)</f>
        <v>0</v>
      </c>
      <c r="K68" s="18" t="str">
        <f aca="false">IF(J68&lt;=Config!$B$2, "PASS", "FAIL")</f>
        <v>PASS</v>
      </c>
    </row>
    <row r="69" customFormat="false" ht="18.75" hidden="false" customHeight="true" outlineLevel="0" collapsed="false">
      <c r="A69" s="7" t="s">
        <v>2209</v>
      </c>
      <c r="B69" s="7" t="s">
        <v>185</v>
      </c>
      <c r="C69" s="7" t="s">
        <v>2067</v>
      </c>
      <c r="D69" s="7" t="s">
        <v>83</v>
      </c>
      <c r="E69" s="7" t="s">
        <v>82</v>
      </c>
      <c r="F69" s="24" t="s">
        <v>2142</v>
      </c>
      <c r="G69" s="12" t="n">
        <v>15430.61</v>
      </c>
      <c r="H69" s="12" t="n">
        <v>15430.61</v>
      </c>
      <c r="I69" s="12" t="n">
        <f aca="false">ROUND(H69-G69, 2)</f>
        <v>0</v>
      </c>
      <c r="J69" s="12" t="n">
        <f aca="false">ABS(I69)</f>
        <v>0</v>
      </c>
      <c r="K69" s="19" t="str">
        <f aca="false">IF(J69&lt;=Config!$B$2, "PASS", "FAIL")</f>
        <v>PASS</v>
      </c>
    </row>
    <row r="70" customFormat="false" ht="18.75" hidden="false" customHeight="true" outlineLevel="0" collapsed="false">
      <c r="A70" s="4" t="s">
        <v>2210</v>
      </c>
      <c r="B70" s="4" t="s">
        <v>190</v>
      </c>
      <c r="C70" s="4" t="s">
        <v>2071</v>
      </c>
      <c r="D70" s="4" t="s">
        <v>83</v>
      </c>
      <c r="E70" s="4" t="s">
        <v>82</v>
      </c>
      <c r="F70" s="24" t="s">
        <v>2142</v>
      </c>
      <c r="G70" s="10" t="n">
        <v>15712.95</v>
      </c>
      <c r="H70" s="10" t="n">
        <v>15712.95</v>
      </c>
      <c r="I70" s="10" t="n">
        <f aca="false">ROUND(H70-G70, 2)</f>
        <v>0</v>
      </c>
      <c r="J70" s="10" t="n">
        <f aca="false">ABS(I70)</f>
        <v>0</v>
      </c>
      <c r="K70" s="18" t="str">
        <f aca="false">IF(J70&lt;=Config!$B$2, "PASS", "FAIL")</f>
        <v>PASS</v>
      </c>
    </row>
    <row r="71" customFormat="false" ht="18.75" hidden="false" customHeight="true" outlineLevel="0" collapsed="false">
      <c r="A71" s="7" t="s">
        <v>2211</v>
      </c>
      <c r="B71" s="7" t="s">
        <v>195</v>
      </c>
      <c r="C71" s="7" t="s">
        <v>2074</v>
      </c>
      <c r="D71" s="7" t="s">
        <v>83</v>
      </c>
      <c r="E71" s="7" t="s">
        <v>82</v>
      </c>
      <c r="F71" s="24" t="s">
        <v>2142</v>
      </c>
      <c r="G71" s="12" t="n">
        <v>15892.92</v>
      </c>
      <c r="H71" s="12" t="n">
        <v>15892.92</v>
      </c>
      <c r="I71" s="12" t="n">
        <f aca="false">ROUND(H71-G71, 2)</f>
        <v>0</v>
      </c>
      <c r="J71" s="12" t="n">
        <f aca="false">ABS(I71)</f>
        <v>0</v>
      </c>
      <c r="K71" s="19" t="str">
        <f aca="false">IF(J71&lt;=Config!$B$2, "PASS", "FAIL")</f>
        <v>PASS</v>
      </c>
    </row>
    <row r="72" customFormat="false" ht="18.75" hidden="false" customHeight="true" outlineLevel="0" collapsed="false">
      <c r="A72" s="4" t="s">
        <v>2212</v>
      </c>
      <c r="B72" s="4" t="s">
        <v>200</v>
      </c>
      <c r="C72" s="4" t="s">
        <v>2063</v>
      </c>
      <c r="D72" s="4" t="s">
        <v>83</v>
      </c>
      <c r="E72" s="4" t="s">
        <v>82</v>
      </c>
      <c r="F72" s="24" t="s">
        <v>2142</v>
      </c>
      <c r="G72" s="10" t="n">
        <v>16023.57</v>
      </c>
      <c r="H72" s="10" t="n">
        <v>16023.57</v>
      </c>
      <c r="I72" s="10" t="n">
        <f aca="false">ROUND(H72-G72, 2)</f>
        <v>0</v>
      </c>
      <c r="J72" s="10" t="n">
        <f aca="false">ABS(I72)</f>
        <v>0</v>
      </c>
      <c r="K72" s="18" t="str">
        <f aca="false">IF(J72&lt;=Config!$B$2, "PASS", "FAIL")</f>
        <v>PASS</v>
      </c>
    </row>
    <row r="73" customFormat="false" ht="18.75" hidden="false" customHeight="true" outlineLevel="0" collapsed="false">
      <c r="A73" s="7" t="s">
        <v>2213</v>
      </c>
      <c r="B73" s="7" t="s">
        <v>205</v>
      </c>
      <c r="C73" s="7" t="s">
        <v>2067</v>
      </c>
      <c r="D73" s="7" t="s">
        <v>83</v>
      </c>
      <c r="E73" s="7" t="s">
        <v>82</v>
      </c>
      <c r="F73" s="24" t="s">
        <v>2142</v>
      </c>
      <c r="G73" s="12" t="n">
        <v>16133.89</v>
      </c>
      <c r="H73" s="12" t="n">
        <v>16133.89</v>
      </c>
      <c r="I73" s="12" t="n">
        <f aca="false">ROUND(H73-G73, 2)</f>
        <v>0</v>
      </c>
      <c r="J73" s="12" t="n">
        <f aca="false">ABS(I73)</f>
        <v>0</v>
      </c>
      <c r="K73" s="19" t="str">
        <f aca="false">IF(J73&lt;=Config!$B$2, "PASS", "FAIL")</f>
        <v>PASS</v>
      </c>
    </row>
    <row r="74" customFormat="false" ht="18.75" hidden="false" customHeight="true" outlineLevel="0" collapsed="false">
      <c r="A74" s="4" t="s">
        <v>2214</v>
      </c>
      <c r="B74" s="4" t="s">
        <v>210</v>
      </c>
      <c r="C74" s="4" t="s">
        <v>2071</v>
      </c>
      <c r="D74" s="4" t="s">
        <v>83</v>
      </c>
      <c r="E74" s="4" t="s">
        <v>82</v>
      </c>
      <c r="F74" s="24" t="s">
        <v>2142</v>
      </c>
      <c r="G74" s="10" t="n">
        <v>16411.55</v>
      </c>
      <c r="H74" s="10" t="n">
        <v>16411.55</v>
      </c>
      <c r="I74" s="10" t="n">
        <f aca="false">ROUND(H74-G74, 2)</f>
        <v>0</v>
      </c>
      <c r="J74" s="10" t="n">
        <f aca="false">ABS(I74)</f>
        <v>0</v>
      </c>
      <c r="K74" s="18" t="str">
        <f aca="false">IF(J74&lt;=Config!$B$2, "PASS", "FAIL")</f>
        <v>PASS</v>
      </c>
    </row>
    <row r="75" customFormat="false" ht="18.75" hidden="false" customHeight="true" outlineLevel="0" collapsed="false">
      <c r="A75" s="7" t="s">
        <v>2215</v>
      </c>
      <c r="B75" s="7" t="s">
        <v>215</v>
      </c>
      <c r="C75" s="7" t="s">
        <v>2074</v>
      </c>
      <c r="D75" s="7" t="s">
        <v>83</v>
      </c>
      <c r="E75" s="7" t="s">
        <v>82</v>
      </c>
      <c r="F75" s="24" t="s">
        <v>2142</v>
      </c>
      <c r="G75" s="12" t="n">
        <v>16450.15</v>
      </c>
      <c r="H75" s="12" t="n">
        <v>16450.15</v>
      </c>
      <c r="I75" s="12" t="n">
        <f aca="false">ROUND(H75-G75, 2)</f>
        <v>0</v>
      </c>
      <c r="J75" s="12" t="n">
        <f aca="false">ABS(I75)</f>
        <v>0</v>
      </c>
      <c r="K75" s="19" t="str">
        <f aca="false">IF(J75&lt;=Config!$B$2, "PASS", "FAIL")</f>
        <v>PASS</v>
      </c>
    </row>
    <row r="76" customFormat="false" ht="18.75" hidden="false" customHeight="true" outlineLevel="0" collapsed="false">
      <c r="A76" s="4" t="s">
        <v>2216</v>
      </c>
      <c r="B76" s="4" t="s">
        <v>220</v>
      </c>
      <c r="C76" s="4" t="s">
        <v>2063</v>
      </c>
      <c r="D76" s="4" t="s">
        <v>83</v>
      </c>
      <c r="E76" s="4" t="s">
        <v>82</v>
      </c>
      <c r="F76" s="24" t="s">
        <v>2142</v>
      </c>
      <c r="G76" s="10" t="n">
        <v>16771.73</v>
      </c>
      <c r="H76" s="10" t="n">
        <v>16771.73</v>
      </c>
      <c r="I76" s="10" t="n">
        <f aca="false">ROUND(H76-G76, 2)</f>
        <v>0</v>
      </c>
      <c r="J76" s="10" t="n">
        <f aca="false">ABS(I76)</f>
        <v>0</v>
      </c>
      <c r="K76" s="18" t="str">
        <f aca="false">IF(J76&lt;=Config!$B$2, "PASS", "FAIL")</f>
        <v>PASS</v>
      </c>
    </row>
    <row r="77" customFormat="false" ht="18.75" hidden="false" customHeight="true" outlineLevel="0" collapsed="false">
      <c r="A77" s="7" t="s">
        <v>2217</v>
      </c>
      <c r="B77" s="7" t="s">
        <v>99</v>
      </c>
      <c r="C77" s="7" t="s">
        <v>2063</v>
      </c>
      <c r="D77" s="7" t="s">
        <v>83</v>
      </c>
      <c r="E77" s="7" t="s">
        <v>82</v>
      </c>
      <c r="F77" s="24" t="s">
        <v>2142</v>
      </c>
      <c r="G77" s="12" t="n">
        <v>16879.34</v>
      </c>
      <c r="H77" s="12" t="n">
        <v>16879.34</v>
      </c>
      <c r="I77" s="12" t="n">
        <f aca="false">ROUND(H77-G77, 2)</f>
        <v>0</v>
      </c>
      <c r="J77" s="12" t="n">
        <f aca="false">ABS(I77)</f>
        <v>0</v>
      </c>
      <c r="K77" s="19" t="str">
        <f aca="false">IF(J77&lt;=Config!$B$2, "PASS", "FAIL")</f>
        <v>PASS</v>
      </c>
    </row>
    <row r="78" customFormat="false" ht="18.75" hidden="false" customHeight="true" outlineLevel="0" collapsed="false">
      <c r="A78" s="4" t="s">
        <v>2218</v>
      </c>
      <c r="B78" s="4" t="s">
        <v>105</v>
      </c>
      <c r="C78" s="4" t="s">
        <v>2067</v>
      </c>
      <c r="D78" s="4" t="s">
        <v>83</v>
      </c>
      <c r="E78" s="4" t="s">
        <v>82</v>
      </c>
      <c r="F78" s="24" t="s">
        <v>2142</v>
      </c>
      <c r="G78" s="10" t="n">
        <v>17131.76</v>
      </c>
      <c r="H78" s="10" t="n">
        <v>17131.76</v>
      </c>
      <c r="I78" s="10" t="n">
        <f aca="false">ROUND(H78-G78, 2)</f>
        <v>0</v>
      </c>
      <c r="J78" s="10" t="n">
        <f aca="false">ABS(I78)</f>
        <v>0</v>
      </c>
      <c r="K78" s="18" t="str">
        <f aca="false">IF(J78&lt;=Config!$B$2, "PASS", "FAIL")</f>
        <v>PASS</v>
      </c>
    </row>
    <row r="79" customFormat="false" ht="18.75" hidden="false" customHeight="true" outlineLevel="0" collapsed="false">
      <c r="A79" s="7" t="s">
        <v>2219</v>
      </c>
      <c r="B79" s="7" t="s">
        <v>110</v>
      </c>
      <c r="C79" s="7" t="s">
        <v>2071</v>
      </c>
      <c r="D79" s="7" t="s">
        <v>83</v>
      </c>
      <c r="E79" s="7" t="s">
        <v>82</v>
      </c>
      <c r="F79" s="24" t="s">
        <v>2142</v>
      </c>
      <c r="G79" s="12" t="n">
        <v>17134.33</v>
      </c>
      <c r="H79" s="12" t="n">
        <v>17134.33</v>
      </c>
      <c r="I79" s="12" t="n">
        <f aca="false">ROUND(H79-G79, 2)</f>
        <v>0</v>
      </c>
      <c r="J79" s="12" t="n">
        <f aca="false">ABS(I79)</f>
        <v>0</v>
      </c>
      <c r="K79" s="19" t="str">
        <f aca="false">IF(J79&lt;=Config!$B$2, "PASS", "FAIL")</f>
        <v>PASS</v>
      </c>
    </row>
    <row r="80" customFormat="false" ht="18.75" hidden="false" customHeight="true" outlineLevel="0" collapsed="false">
      <c r="A80" s="4" t="s">
        <v>2220</v>
      </c>
      <c r="B80" s="4" t="s">
        <v>115</v>
      </c>
      <c r="C80" s="4" t="s">
        <v>2074</v>
      </c>
      <c r="D80" s="4" t="s">
        <v>83</v>
      </c>
      <c r="E80" s="4" t="s">
        <v>82</v>
      </c>
      <c r="F80" s="24" t="s">
        <v>2142</v>
      </c>
      <c r="G80" s="10" t="n">
        <v>17398.64</v>
      </c>
      <c r="H80" s="10" t="n">
        <v>17398.64</v>
      </c>
      <c r="I80" s="10" t="n">
        <f aca="false">ROUND(H80-G80, 2)</f>
        <v>0</v>
      </c>
      <c r="J80" s="10" t="n">
        <f aca="false">ABS(I80)</f>
        <v>0</v>
      </c>
      <c r="K80" s="18" t="str">
        <f aca="false">IF(J80&lt;=Config!$B$2, "PASS", "FAIL")</f>
        <v>PASS</v>
      </c>
    </row>
    <row r="81" customFormat="false" ht="18.75" hidden="false" customHeight="true" outlineLevel="0" collapsed="false">
      <c r="A81" s="7" t="s">
        <v>2221</v>
      </c>
      <c r="B81" s="7" t="s">
        <v>120</v>
      </c>
      <c r="C81" s="7" t="s">
        <v>2063</v>
      </c>
      <c r="D81" s="7" t="s">
        <v>83</v>
      </c>
      <c r="E81" s="7" t="s">
        <v>82</v>
      </c>
      <c r="F81" s="24" t="s">
        <v>2142</v>
      </c>
      <c r="G81" s="12" t="n">
        <v>17513.87</v>
      </c>
      <c r="H81" s="12" t="n">
        <v>17513.87</v>
      </c>
      <c r="I81" s="12" t="n">
        <f aca="false">ROUND(H81-G81, 2)</f>
        <v>0</v>
      </c>
      <c r="J81" s="12" t="n">
        <f aca="false">ABS(I81)</f>
        <v>0</v>
      </c>
      <c r="K81" s="19" t="str">
        <f aca="false">IF(J81&lt;=Config!$B$2, "PASS", "FAIL")</f>
        <v>PASS</v>
      </c>
    </row>
    <row r="82" customFormat="false" ht="18.75" hidden="false" customHeight="true" outlineLevel="0" collapsed="false">
      <c r="A82" s="4" t="s">
        <v>2222</v>
      </c>
      <c r="B82" s="4" t="s">
        <v>125</v>
      </c>
      <c r="C82" s="4" t="s">
        <v>2067</v>
      </c>
      <c r="D82" s="4" t="s">
        <v>83</v>
      </c>
      <c r="E82" s="4" t="s">
        <v>82</v>
      </c>
      <c r="F82" s="24" t="s">
        <v>2142</v>
      </c>
      <c r="G82" s="10" t="n">
        <v>17705.02</v>
      </c>
      <c r="H82" s="10" t="n">
        <v>17705.02</v>
      </c>
      <c r="I82" s="10" t="n">
        <f aca="false">ROUND(H82-G82, 2)</f>
        <v>0</v>
      </c>
      <c r="J82" s="10" t="n">
        <f aca="false">ABS(I82)</f>
        <v>0</v>
      </c>
      <c r="K82" s="18" t="str">
        <f aca="false">IF(J82&lt;=Config!$B$2, "PASS", "FAIL")</f>
        <v>PASS</v>
      </c>
    </row>
    <row r="83" customFormat="false" ht="18.75" hidden="false" customHeight="true" outlineLevel="0" collapsed="false">
      <c r="A83" s="7" t="s">
        <v>2223</v>
      </c>
      <c r="B83" s="7" t="s">
        <v>130</v>
      </c>
      <c r="C83" s="7" t="s">
        <v>2071</v>
      </c>
      <c r="D83" s="7" t="s">
        <v>83</v>
      </c>
      <c r="E83" s="7" t="s">
        <v>82</v>
      </c>
      <c r="F83" s="24" t="s">
        <v>2142</v>
      </c>
      <c r="G83" s="12" t="n">
        <v>17961.34</v>
      </c>
      <c r="H83" s="12" t="n">
        <v>17961.34</v>
      </c>
      <c r="I83" s="12" t="n">
        <f aca="false">ROUND(H83-G83, 2)</f>
        <v>0</v>
      </c>
      <c r="J83" s="12" t="n">
        <f aca="false">ABS(I83)</f>
        <v>0</v>
      </c>
      <c r="K83" s="19" t="str">
        <f aca="false">IF(J83&lt;=Config!$B$2, "PASS", "FAIL")</f>
        <v>PASS</v>
      </c>
    </row>
    <row r="84" customFormat="false" ht="18.75" hidden="false" customHeight="true" outlineLevel="0" collapsed="false">
      <c r="A84" s="4" t="s">
        <v>2224</v>
      </c>
      <c r="B84" s="4" t="s">
        <v>135</v>
      </c>
      <c r="C84" s="4" t="s">
        <v>2074</v>
      </c>
      <c r="D84" s="4" t="s">
        <v>83</v>
      </c>
      <c r="E84" s="4" t="s">
        <v>82</v>
      </c>
      <c r="F84" s="24" t="s">
        <v>2142</v>
      </c>
      <c r="G84" s="10" t="n">
        <v>17932.18</v>
      </c>
      <c r="H84" s="10" t="n">
        <v>17932.18</v>
      </c>
      <c r="I84" s="10" t="n">
        <f aca="false">ROUND(H84-G84, 2)</f>
        <v>0</v>
      </c>
      <c r="J84" s="10" t="n">
        <f aca="false">ABS(I84)</f>
        <v>0</v>
      </c>
      <c r="K84" s="18" t="str">
        <f aca="false">IF(J84&lt;=Config!$B$2, "PASS", "FAIL")</f>
        <v>PASS</v>
      </c>
    </row>
    <row r="85" customFormat="false" ht="18.75" hidden="false" customHeight="true" outlineLevel="0" collapsed="false">
      <c r="A85" s="7" t="s">
        <v>2225</v>
      </c>
      <c r="B85" s="7" t="s">
        <v>140</v>
      </c>
      <c r="C85" s="7" t="s">
        <v>2063</v>
      </c>
      <c r="D85" s="7" t="s">
        <v>83</v>
      </c>
      <c r="E85" s="7" t="s">
        <v>82</v>
      </c>
      <c r="F85" s="24" t="s">
        <v>2142</v>
      </c>
      <c r="G85" s="12" t="n">
        <v>375.09</v>
      </c>
      <c r="H85" s="12" t="n">
        <v>375.09</v>
      </c>
      <c r="I85" s="12" t="n">
        <f aca="false">ROUND(H85-G85, 2)</f>
        <v>0</v>
      </c>
      <c r="J85" s="12" t="n">
        <f aca="false">ABS(I85)</f>
        <v>0</v>
      </c>
      <c r="K85" s="19" t="str">
        <f aca="false">IF(J85&lt;=Config!$B$2, "PASS", "FAIL")</f>
        <v>PASS</v>
      </c>
    </row>
    <row r="86" customFormat="false" ht="18.75" hidden="false" customHeight="true" outlineLevel="0" collapsed="false">
      <c r="A86" s="4" t="s">
        <v>2226</v>
      </c>
      <c r="B86" s="4" t="s">
        <v>145</v>
      </c>
      <c r="C86" s="4" t="s">
        <v>2067</v>
      </c>
      <c r="D86" s="4" t="s">
        <v>83</v>
      </c>
      <c r="E86" s="4" t="s">
        <v>82</v>
      </c>
      <c r="F86" s="24" t="s">
        <v>2142</v>
      </c>
      <c r="G86" s="10" t="n">
        <v>539.52</v>
      </c>
      <c r="H86" s="10" t="n">
        <v>539.52</v>
      </c>
      <c r="I86" s="10" t="n">
        <f aca="false">ROUND(H86-G86, 2)</f>
        <v>0</v>
      </c>
      <c r="J86" s="10" t="n">
        <f aca="false">ABS(I86)</f>
        <v>0</v>
      </c>
      <c r="K86" s="18" t="str">
        <f aca="false">IF(J86&lt;=Config!$B$2, "PASS", "FAIL")</f>
        <v>PASS</v>
      </c>
    </row>
    <row r="87" customFormat="false" ht="18.75" hidden="false" customHeight="true" outlineLevel="0" collapsed="false">
      <c r="A87" s="7" t="s">
        <v>2227</v>
      </c>
      <c r="B87" s="7" t="s">
        <v>150</v>
      </c>
      <c r="C87" s="7" t="s">
        <v>2071</v>
      </c>
      <c r="D87" s="7" t="s">
        <v>83</v>
      </c>
      <c r="E87" s="7" t="s">
        <v>82</v>
      </c>
      <c r="F87" s="24" t="s">
        <v>2142</v>
      </c>
      <c r="G87" s="12" t="n">
        <v>710.66</v>
      </c>
      <c r="H87" s="12" t="n">
        <v>710.66</v>
      </c>
      <c r="I87" s="12" t="n">
        <f aca="false">ROUND(H87-G87, 2)</f>
        <v>0</v>
      </c>
      <c r="J87" s="12" t="n">
        <f aca="false">ABS(I87)</f>
        <v>0</v>
      </c>
      <c r="K87" s="19" t="str">
        <f aca="false">IF(J87&lt;=Config!$B$2, "PASS", "FAIL")</f>
        <v>PASS</v>
      </c>
    </row>
    <row r="88" customFormat="false" ht="18.75" hidden="false" customHeight="true" outlineLevel="0" collapsed="false">
      <c r="A88" s="4" t="s">
        <v>2228</v>
      </c>
      <c r="B88" s="4" t="s">
        <v>155</v>
      </c>
      <c r="C88" s="4" t="s">
        <v>2074</v>
      </c>
      <c r="D88" s="4" t="s">
        <v>83</v>
      </c>
      <c r="E88" s="4" t="s">
        <v>82</v>
      </c>
      <c r="F88" s="24" t="s">
        <v>2142</v>
      </c>
      <c r="G88" s="10" t="n">
        <v>882.44</v>
      </c>
      <c r="H88" s="10" t="n">
        <v>882.44</v>
      </c>
      <c r="I88" s="10" t="n">
        <f aca="false">ROUND(H88-G88, 2)</f>
        <v>0</v>
      </c>
      <c r="J88" s="10" t="n">
        <f aca="false">ABS(I88)</f>
        <v>0</v>
      </c>
      <c r="K88" s="18" t="str">
        <f aca="false">IF(J88&lt;=Config!$B$2, "PASS", "FAIL")</f>
        <v>PASS</v>
      </c>
    </row>
    <row r="89" customFormat="false" ht="18.75" hidden="false" customHeight="true" outlineLevel="0" collapsed="false">
      <c r="A89" s="7" t="s">
        <v>2229</v>
      </c>
      <c r="B89" s="7" t="s">
        <v>160</v>
      </c>
      <c r="C89" s="7" t="s">
        <v>2063</v>
      </c>
      <c r="D89" s="7" t="s">
        <v>83</v>
      </c>
      <c r="E89" s="7" t="s">
        <v>82</v>
      </c>
      <c r="F89" s="24" t="s">
        <v>2142</v>
      </c>
      <c r="G89" s="12" t="n">
        <v>1046.85</v>
      </c>
      <c r="H89" s="12" t="n">
        <v>1046.85</v>
      </c>
      <c r="I89" s="12" t="n">
        <f aca="false">ROUND(H89-G89, 2)</f>
        <v>0</v>
      </c>
      <c r="J89" s="12" t="n">
        <f aca="false">ABS(I89)</f>
        <v>0</v>
      </c>
      <c r="K89" s="19" t="str">
        <f aca="false">IF(J89&lt;=Config!$B$2, "PASS", "FAIL")</f>
        <v>PASS</v>
      </c>
    </row>
    <row r="90" customFormat="false" ht="18.75" hidden="false" customHeight="true" outlineLevel="0" collapsed="false">
      <c r="A90" s="4" t="s">
        <v>2230</v>
      </c>
      <c r="B90" s="4" t="s">
        <v>165</v>
      </c>
      <c r="C90" s="4" t="s">
        <v>2067</v>
      </c>
      <c r="D90" s="4" t="s">
        <v>83</v>
      </c>
      <c r="E90" s="4" t="s">
        <v>82</v>
      </c>
      <c r="F90" s="24" t="s">
        <v>2142</v>
      </c>
      <c r="G90" s="10" t="n">
        <v>1223.81</v>
      </c>
      <c r="H90" s="10" t="n">
        <v>1223.81</v>
      </c>
      <c r="I90" s="10" t="n">
        <f aca="false">ROUND(H90-G90, 2)</f>
        <v>0</v>
      </c>
      <c r="J90" s="10" t="n">
        <f aca="false">ABS(I90)</f>
        <v>0</v>
      </c>
      <c r="K90" s="18" t="str">
        <f aca="false">IF(J90&lt;=Config!$B$2, "PASS", "FAIL")</f>
        <v>PASS</v>
      </c>
    </row>
    <row r="91" customFormat="false" ht="18.75" hidden="false" customHeight="true" outlineLevel="0" collapsed="false">
      <c r="A91" s="7" t="s">
        <v>2231</v>
      </c>
      <c r="B91" s="7" t="s">
        <v>170</v>
      </c>
      <c r="C91" s="7" t="s">
        <v>2071</v>
      </c>
      <c r="D91" s="7" t="s">
        <v>83</v>
      </c>
      <c r="E91" s="7" t="s">
        <v>82</v>
      </c>
      <c r="F91" s="24" t="s">
        <v>2142</v>
      </c>
      <c r="G91" s="12" t="n">
        <v>1374.67</v>
      </c>
      <c r="H91" s="12" t="n">
        <v>1374.67</v>
      </c>
      <c r="I91" s="12" t="n">
        <f aca="false">ROUND(H91-G91, 2)</f>
        <v>0</v>
      </c>
      <c r="J91" s="12" t="n">
        <f aca="false">ABS(I91)</f>
        <v>0</v>
      </c>
      <c r="K91" s="19" t="str">
        <f aca="false">IF(J91&lt;=Config!$B$2, "PASS", "FAIL")</f>
        <v>PASS</v>
      </c>
    </row>
    <row r="92" customFormat="false" ht="18.75" hidden="false" customHeight="true" outlineLevel="0" collapsed="false">
      <c r="A92" s="4" t="s">
        <v>2232</v>
      </c>
      <c r="B92" s="4" t="s">
        <v>175</v>
      </c>
      <c r="C92" s="4" t="s">
        <v>2074</v>
      </c>
      <c r="D92" s="4" t="s">
        <v>83</v>
      </c>
      <c r="E92" s="4" t="s">
        <v>82</v>
      </c>
      <c r="F92" s="24" t="s">
        <v>2142</v>
      </c>
      <c r="G92" s="10" t="n">
        <v>1564.36</v>
      </c>
      <c r="H92" s="10" t="n">
        <v>1564.36</v>
      </c>
      <c r="I92" s="10" t="n">
        <f aca="false">ROUND(H92-G92, 2)</f>
        <v>0</v>
      </c>
      <c r="J92" s="10" t="n">
        <f aca="false">ABS(I92)</f>
        <v>0</v>
      </c>
      <c r="K92" s="18" t="str">
        <f aca="false">IF(J92&lt;=Config!$B$2, "PASS", "FAIL")</f>
        <v>PASS</v>
      </c>
    </row>
    <row r="93" customFormat="false" ht="18.75" hidden="false" customHeight="true" outlineLevel="0" collapsed="false">
      <c r="A93" s="7" t="s">
        <v>2233</v>
      </c>
      <c r="B93" s="7" t="s">
        <v>180</v>
      </c>
      <c r="C93" s="7" t="s">
        <v>2063</v>
      </c>
      <c r="D93" s="7" t="s">
        <v>83</v>
      </c>
      <c r="E93" s="7" t="s">
        <v>82</v>
      </c>
      <c r="F93" s="24" t="s">
        <v>2142</v>
      </c>
      <c r="G93" s="12" t="n">
        <v>1720.99</v>
      </c>
      <c r="H93" s="12" t="n">
        <v>1720.99</v>
      </c>
      <c r="I93" s="12" t="n">
        <f aca="false">ROUND(H93-G93, 2)</f>
        <v>0</v>
      </c>
      <c r="J93" s="12" t="n">
        <f aca="false">ABS(I93)</f>
        <v>0</v>
      </c>
      <c r="K93" s="19" t="str">
        <f aca="false">IF(J93&lt;=Config!$B$2, "PASS", "FAIL")</f>
        <v>PASS</v>
      </c>
    </row>
    <row r="94" customFormat="false" ht="18.75" hidden="false" customHeight="true" outlineLevel="0" collapsed="false">
      <c r="A94" s="4" t="s">
        <v>2234</v>
      </c>
      <c r="B94" s="4" t="s">
        <v>185</v>
      </c>
      <c r="C94" s="4" t="s">
        <v>2067</v>
      </c>
      <c r="D94" s="4" t="s">
        <v>83</v>
      </c>
      <c r="E94" s="4" t="s">
        <v>82</v>
      </c>
      <c r="F94" s="24" t="s">
        <v>2142</v>
      </c>
      <c r="G94" s="10" t="n">
        <v>1883.78</v>
      </c>
      <c r="H94" s="10" t="n">
        <v>1883.78</v>
      </c>
      <c r="I94" s="10" t="n">
        <f aca="false">ROUND(H94-G94, 2)</f>
        <v>0</v>
      </c>
      <c r="J94" s="10" t="n">
        <f aca="false">ABS(I94)</f>
        <v>0</v>
      </c>
      <c r="K94" s="18" t="str">
        <f aca="false">IF(J94&lt;=Config!$B$2, "PASS", "FAIL")</f>
        <v>PASS</v>
      </c>
    </row>
    <row r="95" customFormat="false" ht="18.75" hidden="false" customHeight="true" outlineLevel="0" collapsed="false">
      <c r="A95" s="7" t="s">
        <v>2235</v>
      </c>
      <c r="B95" s="7" t="s">
        <v>190</v>
      </c>
      <c r="C95" s="7" t="s">
        <v>2071</v>
      </c>
      <c r="D95" s="7" t="s">
        <v>83</v>
      </c>
      <c r="E95" s="7" t="s">
        <v>82</v>
      </c>
      <c r="F95" s="24" t="s">
        <v>2142</v>
      </c>
      <c r="G95" s="12" t="n">
        <v>2067.53</v>
      </c>
      <c r="H95" s="12" t="n">
        <v>2067.53</v>
      </c>
      <c r="I95" s="12" t="n">
        <f aca="false">ROUND(H95-G95, 2)</f>
        <v>0</v>
      </c>
      <c r="J95" s="12" t="n">
        <f aca="false">ABS(I95)</f>
        <v>0</v>
      </c>
      <c r="K95" s="19" t="str">
        <f aca="false">IF(J95&lt;=Config!$B$2, "PASS", "FAIL")</f>
        <v>PASS</v>
      </c>
    </row>
    <row r="96" customFormat="false" ht="18.75" hidden="false" customHeight="true" outlineLevel="0" collapsed="false">
      <c r="A96" s="4" t="s">
        <v>2236</v>
      </c>
      <c r="B96" s="4" t="s">
        <v>195</v>
      </c>
      <c r="C96" s="4" t="s">
        <v>2074</v>
      </c>
      <c r="D96" s="4" t="s">
        <v>83</v>
      </c>
      <c r="E96" s="4" t="s">
        <v>82</v>
      </c>
      <c r="F96" s="24" t="s">
        <v>2142</v>
      </c>
      <c r="G96" s="10" t="n">
        <v>2239.28</v>
      </c>
      <c r="H96" s="10" t="n">
        <v>2239.28</v>
      </c>
      <c r="I96" s="10" t="n">
        <f aca="false">ROUND(H96-G96, 2)</f>
        <v>0</v>
      </c>
      <c r="J96" s="10" t="n">
        <f aca="false">ABS(I96)</f>
        <v>0</v>
      </c>
      <c r="K96" s="18" t="str">
        <f aca="false">IF(J96&lt;=Config!$B$2, "PASS", "FAIL")</f>
        <v>PASS</v>
      </c>
    </row>
    <row r="97" customFormat="false" ht="18.75" hidden="false" customHeight="true" outlineLevel="0" collapsed="false">
      <c r="A97" s="7" t="s">
        <v>2237</v>
      </c>
      <c r="B97" s="7" t="s">
        <v>200</v>
      </c>
      <c r="C97" s="7" t="s">
        <v>2063</v>
      </c>
      <c r="D97" s="7" t="s">
        <v>83</v>
      </c>
      <c r="E97" s="7" t="s">
        <v>82</v>
      </c>
      <c r="F97" s="24" t="s">
        <v>2142</v>
      </c>
      <c r="G97" s="12" t="n">
        <v>2402.8</v>
      </c>
      <c r="H97" s="12" t="n">
        <v>2402.8</v>
      </c>
      <c r="I97" s="12" t="n">
        <f aca="false">ROUND(H97-G97, 2)</f>
        <v>0</v>
      </c>
      <c r="J97" s="12" t="n">
        <f aca="false">ABS(I97)</f>
        <v>0</v>
      </c>
      <c r="K97" s="19" t="str">
        <f aca="false">IF(J97&lt;=Config!$B$2, "PASS", "FAIL")</f>
        <v>PASS</v>
      </c>
    </row>
    <row r="98" customFormat="false" ht="18.75" hidden="false" customHeight="true" outlineLevel="0" collapsed="false">
      <c r="A98" s="4" t="s">
        <v>2238</v>
      </c>
      <c r="B98" s="4" t="s">
        <v>205</v>
      </c>
      <c r="C98" s="4" t="s">
        <v>2067</v>
      </c>
      <c r="D98" s="4" t="s">
        <v>83</v>
      </c>
      <c r="E98" s="4" t="s">
        <v>82</v>
      </c>
      <c r="F98" s="24" t="s">
        <v>2142</v>
      </c>
      <c r="G98" s="10" t="n">
        <v>2561.43</v>
      </c>
      <c r="H98" s="10" t="n">
        <v>2561.43</v>
      </c>
      <c r="I98" s="10" t="n">
        <f aca="false">ROUND(H98-G98, 2)</f>
        <v>0</v>
      </c>
      <c r="J98" s="10" t="n">
        <f aca="false">ABS(I98)</f>
        <v>0</v>
      </c>
      <c r="K98" s="18" t="str">
        <f aca="false">IF(J98&lt;=Config!$B$2, "PASS", "FAIL")</f>
        <v>PASS</v>
      </c>
    </row>
    <row r="99" customFormat="false" ht="18.75" hidden="false" customHeight="true" outlineLevel="0" collapsed="false">
      <c r="A99" s="7" t="s">
        <v>2239</v>
      </c>
      <c r="B99" s="7" t="s">
        <v>210</v>
      </c>
      <c r="C99" s="7" t="s">
        <v>2071</v>
      </c>
      <c r="D99" s="7" t="s">
        <v>83</v>
      </c>
      <c r="E99" s="7" t="s">
        <v>82</v>
      </c>
      <c r="F99" s="24" t="s">
        <v>2142</v>
      </c>
      <c r="G99" s="12" t="n">
        <v>2749.7</v>
      </c>
      <c r="H99" s="12" t="n">
        <v>2749.7</v>
      </c>
      <c r="I99" s="12" t="n">
        <f aca="false">ROUND(H99-G99, 2)</f>
        <v>0</v>
      </c>
      <c r="J99" s="12" t="n">
        <f aca="false">ABS(I99)</f>
        <v>0</v>
      </c>
      <c r="K99" s="19" t="str">
        <f aca="false">IF(J99&lt;=Config!$B$2, "PASS", "FAIL")</f>
        <v>PASS</v>
      </c>
    </row>
    <row r="100" customFormat="false" ht="18.75" hidden="false" customHeight="true" outlineLevel="0" collapsed="false">
      <c r="A100" s="4" t="s">
        <v>2240</v>
      </c>
      <c r="B100" s="4" t="s">
        <v>215</v>
      </c>
      <c r="C100" s="4" t="s">
        <v>2074</v>
      </c>
      <c r="D100" s="4" t="s">
        <v>83</v>
      </c>
      <c r="E100" s="4" t="s">
        <v>82</v>
      </c>
      <c r="F100" s="24" t="s">
        <v>2142</v>
      </c>
      <c r="G100" s="10" t="n">
        <v>2895.11</v>
      </c>
      <c r="H100" s="10" t="n">
        <v>2895.11</v>
      </c>
      <c r="I100" s="10" t="n">
        <f aca="false">ROUND(H100-G100, 2)</f>
        <v>0</v>
      </c>
      <c r="J100" s="10" t="n">
        <f aca="false">ABS(I100)</f>
        <v>0</v>
      </c>
      <c r="K100" s="18" t="str">
        <f aca="false">IF(J100&lt;=Config!$B$2, "PASS", "FAIL")</f>
        <v>PASS</v>
      </c>
    </row>
    <row r="101" customFormat="false" ht="18.75" hidden="false" customHeight="true" outlineLevel="0" collapsed="false">
      <c r="A101" s="7" t="s">
        <v>2241</v>
      </c>
      <c r="B101" s="7" t="s">
        <v>220</v>
      </c>
      <c r="C101" s="7" t="s">
        <v>2063</v>
      </c>
      <c r="D101" s="7" t="s">
        <v>83</v>
      </c>
      <c r="E101" s="7" t="s">
        <v>82</v>
      </c>
      <c r="F101" s="24" t="s">
        <v>2142</v>
      </c>
      <c r="G101" s="12" t="n">
        <v>3092.47</v>
      </c>
      <c r="H101" s="12" t="n">
        <v>3092.47</v>
      </c>
      <c r="I101" s="12" t="n">
        <f aca="false">ROUND(H101-G101, 2)</f>
        <v>0</v>
      </c>
      <c r="J101" s="12" t="n">
        <f aca="false">ABS(I101)</f>
        <v>0</v>
      </c>
      <c r="K101" s="19" t="str">
        <f aca="false">IF(J101&lt;=Config!$B$2, "PASS", "FAIL")</f>
        <v>PASS</v>
      </c>
    </row>
    <row r="102" customFormat="false" ht="18.75" hidden="false" customHeight="true" outlineLevel="0" collapsed="false">
      <c r="A102" s="4" t="s">
        <v>2242</v>
      </c>
      <c r="B102" s="4" t="s">
        <v>99</v>
      </c>
      <c r="C102" s="4" t="s">
        <v>2063</v>
      </c>
      <c r="D102" s="4" t="s">
        <v>83</v>
      </c>
      <c r="E102" s="4" t="s">
        <v>82</v>
      </c>
      <c r="F102" s="24" t="s">
        <v>2142</v>
      </c>
      <c r="G102" s="10" t="n">
        <v>3250.34</v>
      </c>
      <c r="H102" s="10" t="n">
        <v>3250.34</v>
      </c>
      <c r="I102" s="10" t="n">
        <f aca="false">ROUND(H102-G102, 2)</f>
        <v>0</v>
      </c>
      <c r="J102" s="10" t="n">
        <f aca="false">ABS(I102)</f>
        <v>0</v>
      </c>
      <c r="K102" s="18" t="str">
        <f aca="false">IF(J102&lt;=Config!$B$2, "PASS", "FAIL")</f>
        <v>PASS</v>
      </c>
    </row>
    <row r="103" customFormat="false" ht="18.75" hidden="false" customHeight="true" outlineLevel="0" collapsed="false">
      <c r="A103" s="7" t="s">
        <v>2243</v>
      </c>
      <c r="B103" s="7" t="s">
        <v>105</v>
      </c>
      <c r="C103" s="7" t="s">
        <v>2067</v>
      </c>
      <c r="D103" s="7" t="s">
        <v>83</v>
      </c>
      <c r="E103" s="7" t="s">
        <v>82</v>
      </c>
      <c r="F103" s="24" t="s">
        <v>2142</v>
      </c>
      <c r="G103" s="12" t="n">
        <v>3437.05</v>
      </c>
      <c r="H103" s="12" t="n">
        <v>3437.05</v>
      </c>
      <c r="I103" s="12" t="n">
        <f aca="false">ROUND(H103-G103, 2)</f>
        <v>0</v>
      </c>
      <c r="J103" s="12" t="n">
        <f aca="false">ABS(I103)</f>
        <v>0</v>
      </c>
      <c r="K103" s="19" t="str">
        <f aca="false">IF(J103&lt;=Config!$B$2, "PASS", "FAIL")</f>
        <v>PASS</v>
      </c>
    </row>
    <row r="104" customFormat="false" ht="18.75" hidden="false" customHeight="true" outlineLevel="0" collapsed="false">
      <c r="A104" s="4" t="s">
        <v>2244</v>
      </c>
      <c r="B104" s="4" t="s">
        <v>110</v>
      </c>
      <c r="C104" s="4" t="s">
        <v>2071</v>
      </c>
      <c r="D104" s="4" t="s">
        <v>83</v>
      </c>
      <c r="E104" s="4" t="s">
        <v>82</v>
      </c>
      <c r="F104" s="24" t="s">
        <v>2142</v>
      </c>
      <c r="G104" s="10" t="n">
        <v>3571.06</v>
      </c>
      <c r="H104" s="10" t="n">
        <v>3571.06</v>
      </c>
      <c r="I104" s="10" t="n">
        <f aca="false">ROUND(H104-G104, 2)</f>
        <v>0</v>
      </c>
      <c r="J104" s="10" t="n">
        <f aca="false">ABS(I104)</f>
        <v>0</v>
      </c>
      <c r="K104" s="18" t="str">
        <f aca="false">IF(J104&lt;=Config!$B$2, "PASS", "FAIL")</f>
        <v>PASS</v>
      </c>
    </row>
    <row r="105" customFormat="false" ht="18.75" hidden="false" customHeight="true" outlineLevel="0" collapsed="false">
      <c r="A105" s="7" t="s">
        <v>2245</v>
      </c>
      <c r="B105" s="7" t="s">
        <v>115</v>
      </c>
      <c r="C105" s="7" t="s">
        <v>2074</v>
      </c>
      <c r="D105" s="7" t="s">
        <v>83</v>
      </c>
      <c r="E105" s="7" t="s">
        <v>82</v>
      </c>
      <c r="F105" s="24" t="s">
        <v>2142</v>
      </c>
      <c r="G105" s="12" t="n">
        <v>3760.46</v>
      </c>
      <c r="H105" s="12" t="n">
        <v>3760.46</v>
      </c>
      <c r="I105" s="12" t="n">
        <f aca="false">ROUND(H105-G105, 2)</f>
        <v>0</v>
      </c>
      <c r="J105" s="12" t="n">
        <f aca="false">ABS(I105)</f>
        <v>0</v>
      </c>
      <c r="K105" s="19" t="str">
        <f aca="false">IF(J105&lt;=Config!$B$2, "PASS", "FAIL")</f>
        <v>PASS</v>
      </c>
    </row>
    <row r="106" customFormat="false" ht="18.75" hidden="false" customHeight="true" outlineLevel="0" collapsed="false">
      <c r="A106" s="4" t="s">
        <v>2246</v>
      </c>
      <c r="B106" s="4" t="s">
        <v>120</v>
      </c>
      <c r="C106" s="4" t="s">
        <v>2063</v>
      </c>
      <c r="D106" s="4" t="s">
        <v>83</v>
      </c>
      <c r="E106" s="4" t="s">
        <v>82</v>
      </c>
      <c r="F106" s="24" t="s">
        <v>2142</v>
      </c>
      <c r="G106" s="10" t="n">
        <v>3917.73</v>
      </c>
      <c r="H106" s="10" t="n">
        <v>3917.73</v>
      </c>
      <c r="I106" s="10" t="n">
        <f aca="false">ROUND(H106-G106, 2)</f>
        <v>0</v>
      </c>
      <c r="J106" s="10" t="n">
        <f aca="false">ABS(I106)</f>
        <v>0</v>
      </c>
      <c r="K106" s="18" t="str">
        <f aca="false">IF(J106&lt;=Config!$B$2, "PASS", "FAIL")</f>
        <v>PASS</v>
      </c>
    </row>
    <row r="107" customFormat="false" ht="18.75" hidden="false" customHeight="true" outlineLevel="0" collapsed="false">
      <c r="A107" s="7" t="s">
        <v>2247</v>
      </c>
      <c r="B107" s="7" t="s">
        <v>125</v>
      </c>
      <c r="C107" s="7" t="s">
        <v>2067</v>
      </c>
      <c r="D107" s="7" t="s">
        <v>83</v>
      </c>
      <c r="E107" s="7" t="s">
        <v>82</v>
      </c>
      <c r="F107" s="24" t="s">
        <v>2142</v>
      </c>
      <c r="G107" s="12" t="n">
        <v>4092.46</v>
      </c>
      <c r="H107" s="12" t="n">
        <v>4092.46</v>
      </c>
      <c r="I107" s="12" t="n">
        <f aca="false">ROUND(H107-G107, 2)</f>
        <v>0</v>
      </c>
      <c r="J107" s="12" t="n">
        <f aca="false">ABS(I107)</f>
        <v>0</v>
      </c>
      <c r="K107" s="19" t="str">
        <f aca="false">IF(J107&lt;=Config!$B$2, "PASS", "FAIL")</f>
        <v>PASS</v>
      </c>
    </row>
    <row r="108" customFormat="false" ht="18.75" hidden="false" customHeight="true" outlineLevel="0" collapsed="false">
      <c r="A108" s="4" t="s">
        <v>2248</v>
      </c>
      <c r="B108" s="4" t="s">
        <v>130</v>
      </c>
      <c r="C108" s="4" t="s">
        <v>2071</v>
      </c>
      <c r="D108" s="4" t="s">
        <v>83</v>
      </c>
      <c r="E108" s="4" t="s">
        <v>82</v>
      </c>
      <c r="F108" s="24" t="s">
        <v>2142</v>
      </c>
      <c r="G108" s="10" t="n">
        <v>4282.06</v>
      </c>
      <c r="H108" s="10" t="n">
        <v>4282.06</v>
      </c>
      <c r="I108" s="10" t="n">
        <f aca="false">ROUND(H108-G108, 2)</f>
        <v>0</v>
      </c>
      <c r="J108" s="10" t="n">
        <f aca="false">ABS(I108)</f>
        <v>0</v>
      </c>
      <c r="K108" s="18" t="str">
        <f aca="false">IF(J108&lt;=Config!$B$2, "PASS", "FAIL")</f>
        <v>PASS</v>
      </c>
    </row>
    <row r="109" customFormat="false" ht="18.75" hidden="false" customHeight="true" outlineLevel="0" collapsed="false">
      <c r="A109" s="7" t="s">
        <v>2249</v>
      </c>
      <c r="B109" s="7" t="s">
        <v>135</v>
      </c>
      <c r="C109" s="7" t="s">
        <v>2074</v>
      </c>
      <c r="D109" s="7" t="s">
        <v>83</v>
      </c>
      <c r="E109" s="7" t="s">
        <v>82</v>
      </c>
      <c r="F109" s="24" t="s">
        <v>2142</v>
      </c>
      <c r="G109" s="12" t="n">
        <v>4401.78</v>
      </c>
      <c r="H109" s="12" t="n">
        <v>4401.78</v>
      </c>
      <c r="I109" s="12" t="n">
        <f aca="false">ROUND(H109-G109, 2)</f>
        <v>0</v>
      </c>
      <c r="J109" s="12" t="n">
        <f aca="false">ABS(I109)</f>
        <v>0</v>
      </c>
      <c r="K109" s="19" t="str">
        <f aca="false">IF(J109&lt;=Config!$B$2, "PASS", "FAIL")</f>
        <v>PASS</v>
      </c>
    </row>
    <row r="110" customFormat="false" ht="18.75" hidden="false" customHeight="true" outlineLevel="0" collapsed="false">
      <c r="A110" s="4" t="s">
        <v>2250</v>
      </c>
      <c r="B110" s="4" t="s">
        <v>140</v>
      </c>
      <c r="C110" s="4" t="s">
        <v>2063</v>
      </c>
      <c r="D110" s="4" t="s">
        <v>83</v>
      </c>
      <c r="E110" s="4" t="s">
        <v>82</v>
      </c>
      <c r="F110" s="24" t="s">
        <v>2142</v>
      </c>
      <c r="G110" s="10" t="n">
        <v>4631.44</v>
      </c>
      <c r="H110" s="10" t="n">
        <v>4631.44</v>
      </c>
      <c r="I110" s="10" t="n">
        <f aca="false">ROUND(H110-G110, 2)</f>
        <v>0</v>
      </c>
      <c r="J110" s="10" t="n">
        <f aca="false">ABS(I110)</f>
        <v>0</v>
      </c>
      <c r="K110" s="18" t="str">
        <f aca="false">IF(J110&lt;=Config!$B$2, "PASS", "FAIL")</f>
        <v>PASS</v>
      </c>
    </row>
    <row r="111" customFormat="false" ht="18.75" hidden="false" customHeight="true" outlineLevel="0" collapsed="false">
      <c r="A111" s="7" t="s">
        <v>2251</v>
      </c>
      <c r="B111" s="7" t="s">
        <v>145</v>
      </c>
      <c r="C111" s="7" t="s">
        <v>2067</v>
      </c>
      <c r="D111" s="7" t="s">
        <v>83</v>
      </c>
      <c r="E111" s="7" t="s">
        <v>82</v>
      </c>
      <c r="F111" s="24" t="s">
        <v>2142</v>
      </c>
      <c r="G111" s="12" t="n">
        <v>4757.59</v>
      </c>
      <c r="H111" s="12" t="n">
        <v>4757.59</v>
      </c>
      <c r="I111" s="12" t="n">
        <f aca="false">ROUND(H111-G111, 2)</f>
        <v>0</v>
      </c>
      <c r="J111" s="12" t="n">
        <f aca="false">ABS(I111)</f>
        <v>0</v>
      </c>
      <c r="K111" s="19" t="str">
        <f aca="false">IF(J111&lt;=Config!$B$2, "PASS", "FAIL")</f>
        <v>PASS</v>
      </c>
    </row>
    <row r="112" customFormat="false" ht="18.75" hidden="false" customHeight="true" outlineLevel="0" collapsed="false">
      <c r="A112" s="4" t="s">
        <v>2252</v>
      </c>
      <c r="B112" s="4" t="s">
        <v>150</v>
      </c>
      <c r="C112" s="4" t="s">
        <v>2071</v>
      </c>
      <c r="D112" s="4" t="s">
        <v>83</v>
      </c>
      <c r="E112" s="4" t="s">
        <v>82</v>
      </c>
      <c r="F112" s="24" t="s">
        <v>2142</v>
      </c>
      <c r="G112" s="10" t="n">
        <v>4940.52</v>
      </c>
      <c r="H112" s="10" t="n">
        <v>4940.52</v>
      </c>
      <c r="I112" s="10" t="n">
        <f aca="false">ROUND(H112-G112, 2)</f>
        <v>0</v>
      </c>
      <c r="J112" s="10" t="n">
        <f aca="false">ABS(I112)</f>
        <v>0</v>
      </c>
      <c r="K112" s="18" t="str">
        <f aca="false">IF(J112&lt;=Config!$B$2, "PASS", "FAIL")</f>
        <v>PASS</v>
      </c>
    </row>
    <row r="113" customFormat="false" ht="18.75" hidden="false" customHeight="true" outlineLevel="0" collapsed="false">
      <c r="A113" s="7" t="s">
        <v>2253</v>
      </c>
      <c r="B113" s="7" t="s">
        <v>155</v>
      </c>
      <c r="C113" s="7" t="s">
        <v>2074</v>
      </c>
      <c r="D113" s="7" t="s">
        <v>83</v>
      </c>
      <c r="E113" s="7" t="s">
        <v>82</v>
      </c>
      <c r="F113" s="24" t="s">
        <v>2142</v>
      </c>
      <c r="G113" s="12" t="n">
        <v>5126.04</v>
      </c>
      <c r="H113" s="12" t="n">
        <v>5126.04</v>
      </c>
      <c r="I113" s="12" t="n">
        <f aca="false">ROUND(H113-G113, 2)</f>
        <v>0</v>
      </c>
      <c r="J113" s="12" t="n">
        <f aca="false">ABS(I113)</f>
        <v>0</v>
      </c>
      <c r="K113" s="19" t="str">
        <f aca="false">IF(J113&lt;=Config!$B$2, "PASS", "FAIL")</f>
        <v>PASS</v>
      </c>
    </row>
    <row r="114" customFormat="false" ht="18.75" hidden="false" customHeight="true" outlineLevel="0" collapsed="false">
      <c r="A114" s="4" t="s">
        <v>2254</v>
      </c>
      <c r="B114" s="4" t="s">
        <v>160</v>
      </c>
      <c r="C114" s="4" t="s">
        <v>2063</v>
      </c>
      <c r="D114" s="4" t="s">
        <v>83</v>
      </c>
      <c r="E114" s="4" t="s">
        <v>82</v>
      </c>
      <c r="F114" s="24" t="s">
        <v>2142</v>
      </c>
      <c r="G114" s="10" t="n">
        <v>5272.57</v>
      </c>
      <c r="H114" s="10" t="n">
        <v>5272.57</v>
      </c>
      <c r="I114" s="10" t="n">
        <f aca="false">ROUND(H114-G114, 2)</f>
        <v>0</v>
      </c>
      <c r="J114" s="10" t="n">
        <f aca="false">ABS(I114)</f>
        <v>0</v>
      </c>
      <c r="K114" s="18" t="str">
        <f aca="false">IF(J114&lt;=Config!$B$2, "PASS", "FAIL")</f>
        <v>PASS</v>
      </c>
    </row>
    <row r="115" customFormat="false" ht="18.75" hidden="false" customHeight="true" outlineLevel="0" collapsed="false">
      <c r="A115" s="7" t="s">
        <v>2255</v>
      </c>
      <c r="B115" s="7" t="s">
        <v>165</v>
      </c>
      <c r="C115" s="7" t="s">
        <v>2067</v>
      </c>
      <c r="D115" s="7" t="s">
        <v>83</v>
      </c>
      <c r="E115" s="7" t="s">
        <v>82</v>
      </c>
      <c r="F115" s="24" t="s">
        <v>2142</v>
      </c>
      <c r="G115" s="12" t="n">
        <v>5468.96</v>
      </c>
      <c r="H115" s="12" t="n">
        <v>5468.96</v>
      </c>
      <c r="I115" s="12" t="n">
        <f aca="false">ROUND(H115-G115, 2)</f>
        <v>0</v>
      </c>
      <c r="J115" s="12" t="n">
        <f aca="false">ABS(I115)</f>
        <v>0</v>
      </c>
      <c r="K115" s="19" t="str">
        <f aca="false">IF(J115&lt;=Config!$B$2, "PASS", "FAIL")</f>
        <v>PASS</v>
      </c>
    </row>
    <row r="116" customFormat="false" ht="18.75" hidden="false" customHeight="true" outlineLevel="0" collapsed="false">
      <c r="A116" s="4" t="s">
        <v>2256</v>
      </c>
      <c r="B116" s="4" t="s">
        <v>170</v>
      </c>
      <c r="C116" s="4" t="s">
        <v>2071</v>
      </c>
      <c r="D116" s="4" t="s">
        <v>83</v>
      </c>
      <c r="E116" s="4" t="s">
        <v>82</v>
      </c>
      <c r="F116" s="24" t="s">
        <v>2142</v>
      </c>
      <c r="G116" s="10" t="n">
        <v>5572.33</v>
      </c>
      <c r="H116" s="10" t="n">
        <v>5572.33</v>
      </c>
      <c r="I116" s="10" t="n">
        <f aca="false">ROUND(H116-G116, 2)</f>
        <v>0</v>
      </c>
      <c r="J116" s="10" t="n">
        <f aca="false">ABS(I116)</f>
        <v>0</v>
      </c>
      <c r="K116" s="18" t="str">
        <f aca="false">IF(J116&lt;=Config!$B$2, "PASS", "FAIL")</f>
        <v>PASS</v>
      </c>
    </row>
    <row r="117" customFormat="false" ht="18.75" hidden="false" customHeight="true" outlineLevel="0" collapsed="false">
      <c r="A117" s="7" t="s">
        <v>2257</v>
      </c>
      <c r="B117" s="7" t="s">
        <v>175</v>
      </c>
      <c r="C117" s="7" t="s">
        <v>2074</v>
      </c>
      <c r="D117" s="7" t="s">
        <v>83</v>
      </c>
      <c r="E117" s="7" t="s">
        <v>82</v>
      </c>
      <c r="F117" s="24" t="s">
        <v>2142</v>
      </c>
      <c r="G117" s="12" t="n">
        <v>5815.6</v>
      </c>
      <c r="H117" s="12" t="n">
        <v>5815.6</v>
      </c>
      <c r="I117" s="12" t="n">
        <f aca="false">ROUND(H117-G117, 2)</f>
        <v>0</v>
      </c>
      <c r="J117" s="12" t="n">
        <f aca="false">ABS(I117)</f>
        <v>0</v>
      </c>
      <c r="K117" s="19" t="str">
        <f aca="false">IF(J117&lt;=Config!$B$2, "PASS", "FAIL")</f>
        <v>PASS</v>
      </c>
    </row>
    <row r="118" customFormat="false" ht="18.75" hidden="false" customHeight="true" outlineLevel="0" collapsed="false">
      <c r="A118" s="4" t="s">
        <v>2258</v>
      </c>
      <c r="B118" s="4" t="s">
        <v>180</v>
      </c>
      <c r="C118" s="4" t="s">
        <v>2063</v>
      </c>
      <c r="D118" s="4" t="s">
        <v>83</v>
      </c>
      <c r="E118" s="4" t="s">
        <v>82</v>
      </c>
      <c r="F118" s="24" t="s">
        <v>2142</v>
      </c>
      <c r="G118" s="10" t="n">
        <v>5941.62</v>
      </c>
      <c r="H118" s="10" t="n">
        <v>5941.62</v>
      </c>
      <c r="I118" s="10" t="n">
        <f aca="false">ROUND(H118-G118, 2)</f>
        <v>0</v>
      </c>
      <c r="J118" s="10" t="n">
        <f aca="false">ABS(I118)</f>
        <v>0</v>
      </c>
      <c r="K118" s="18" t="str">
        <f aca="false">IF(J118&lt;=Config!$B$2, "PASS", "FAIL")</f>
        <v>PASS</v>
      </c>
    </row>
    <row r="119" customFormat="false" ht="18.75" hidden="false" customHeight="true" outlineLevel="0" collapsed="false">
      <c r="A119" s="7" t="s">
        <v>2259</v>
      </c>
      <c r="B119" s="7" t="s">
        <v>185</v>
      </c>
      <c r="C119" s="7" t="s">
        <v>2067</v>
      </c>
      <c r="D119" s="7" t="s">
        <v>83</v>
      </c>
      <c r="E119" s="7" t="s">
        <v>82</v>
      </c>
      <c r="F119" s="24" t="s">
        <v>2142</v>
      </c>
      <c r="G119" s="12" t="n">
        <v>6090.67</v>
      </c>
      <c r="H119" s="12" t="n">
        <v>6090.67</v>
      </c>
      <c r="I119" s="12" t="n">
        <f aca="false">ROUND(H119-G119, 2)</f>
        <v>0</v>
      </c>
      <c r="J119" s="12" t="n">
        <f aca="false">ABS(I119)</f>
        <v>0</v>
      </c>
      <c r="K119" s="19" t="str">
        <f aca="false">IF(J119&lt;=Config!$B$2, "PASS", "FAIL")</f>
        <v>PASS</v>
      </c>
    </row>
    <row r="120" customFormat="false" ht="18.75" hidden="false" customHeight="true" outlineLevel="0" collapsed="false">
      <c r="A120" s="4" t="s">
        <v>2260</v>
      </c>
      <c r="B120" s="4" t="s">
        <v>190</v>
      </c>
      <c r="C120" s="4" t="s">
        <v>2071</v>
      </c>
      <c r="D120" s="4" t="s">
        <v>83</v>
      </c>
      <c r="E120" s="4" t="s">
        <v>82</v>
      </c>
      <c r="F120" s="24" t="s">
        <v>2142</v>
      </c>
      <c r="G120" s="10" t="n">
        <v>6306.01</v>
      </c>
      <c r="H120" s="10" t="n">
        <v>6306.01</v>
      </c>
      <c r="I120" s="10" t="n">
        <f aca="false">ROUND(H120-G120, 2)</f>
        <v>0</v>
      </c>
      <c r="J120" s="10" t="n">
        <f aca="false">ABS(I120)</f>
        <v>0</v>
      </c>
      <c r="K120" s="18" t="str">
        <f aca="false">IF(J120&lt;=Config!$B$2, "PASS", "FAIL")</f>
        <v>PASS</v>
      </c>
    </row>
    <row r="121" customFormat="false" ht="18.75" hidden="false" customHeight="true" outlineLevel="0" collapsed="false">
      <c r="A121" s="7" t="s">
        <v>2261</v>
      </c>
      <c r="B121" s="7" t="s">
        <v>195</v>
      </c>
      <c r="C121" s="7" t="s">
        <v>2074</v>
      </c>
      <c r="D121" s="7" t="s">
        <v>83</v>
      </c>
      <c r="E121" s="7" t="s">
        <v>82</v>
      </c>
      <c r="F121" s="24" t="s">
        <v>2142</v>
      </c>
      <c r="G121" s="12" t="n">
        <v>6480.32</v>
      </c>
      <c r="H121" s="12" t="n">
        <v>6480.32</v>
      </c>
      <c r="I121" s="12" t="n">
        <f aca="false">ROUND(H121-G121, 2)</f>
        <v>0</v>
      </c>
      <c r="J121" s="12" t="n">
        <f aca="false">ABS(I121)</f>
        <v>0</v>
      </c>
      <c r="K121" s="19" t="str">
        <f aca="false">IF(J121&lt;=Config!$B$2, "PASS", "FAIL")</f>
        <v>PASS</v>
      </c>
    </row>
    <row r="122" customFormat="false" ht="18.75" hidden="false" customHeight="true" outlineLevel="0" collapsed="false">
      <c r="A122" s="4" t="s">
        <v>2262</v>
      </c>
      <c r="B122" s="4" t="s">
        <v>200</v>
      </c>
      <c r="C122" s="4" t="s">
        <v>2063</v>
      </c>
      <c r="D122" s="4" t="s">
        <v>83</v>
      </c>
      <c r="E122" s="4" t="s">
        <v>82</v>
      </c>
      <c r="F122" s="24" t="s">
        <v>2142</v>
      </c>
      <c r="G122" s="10" t="n">
        <v>6632.65</v>
      </c>
      <c r="H122" s="10" t="n">
        <v>6632.65</v>
      </c>
      <c r="I122" s="10" t="n">
        <f aca="false">ROUND(H122-G122, 2)</f>
        <v>0</v>
      </c>
      <c r="J122" s="10" t="n">
        <f aca="false">ABS(I122)</f>
        <v>0</v>
      </c>
      <c r="K122" s="18" t="str">
        <f aca="false">IF(J122&lt;=Config!$B$2, "PASS", "FAIL")</f>
        <v>PASS</v>
      </c>
    </row>
    <row r="123" customFormat="false" ht="18.75" hidden="false" customHeight="true" outlineLevel="0" collapsed="false">
      <c r="A123" s="7" t="s">
        <v>2263</v>
      </c>
      <c r="B123" s="7" t="s">
        <v>205</v>
      </c>
      <c r="C123" s="7" t="s">
        <v>2067</v>
      </c>
      <c r="D123" s="7" t="s">
        <v>83</v>
      </c>
      <c r="E123" s="7" t="s">
        <v>82</v>
      </c>
      <c r="F123" s="24" t="s">
        <v>2142</v>
      </c>
      <c r="G123" s="12" t="n">
        <v>6776.95</v>
      </c>
      <c r="H123" s="12" t="n">
        <v>6776.95</v>
      </c>
      <c r="I123" s="12" t="n">
        <f aca="false">ROUND(H123-G123, 2)</f>
        <v>0</v>
      </c>
      <c r="J123" s="12" t="n">
        <f aca="false">ABS(I123)</f>
        <v>0</v>
      </c>
      <c r="K123" s="19" t="str">
        <f aca="false">IF(J123&lt;=Config!$B$2, "PASS", "FAIL")</f>
        <v>PASS</v>
      </c>
    </row>
    <row r="124" customFormat="false" ht="18.75" hidden="false" customHeight="true" outlineLevel="0" collapsed="false">
      <c r="A124" s="4" t="s">
        <v>2264</v>
      </c>
      <c r="B124" s="4" t="s">
        <v>210</v>
      </c>
      <c r="C124" s="4" t="s">
        <v>2071</v>
      </c>
      <c r="D124" s="4" t="s">
        <v>83</v>
      </c>
      <c r="E124" s="4" t="s">
        <v>82</v>
      </c>
      <c r="F124" s="24" t="s">
        <v>2142</v>
      </c>
      <c r="G124" s="10" t="n">
        <v>6993.3</v>
      </c>
      <c r="H124" s="10" t="n">
        <v>6993.3</v>
      </c>
      <c r="I124" s="10" t="n">
        <f aca="false">ROUND(H124-G124, 2)</f>
        <v>0</v>
      </c>
      <c r="J124" s="10" t="n">
        <f aca="false">ABS(I124)</f>
        <v>0</v>
      </c>
      <c r="K124" s="18" t="str">
        <f aca="false">IF(J124&lt;=Config!$B$2, "PASS", "FAIL")</f>
        <v>PASS</v>
      </c>
    </row>
    <row r="125" customFormat="false" ht="18.75" hidden="false" customHeight="true" outlineLevel="0" collapsed="false">
      <c r="A125" s="7" t="s">
        <v>2265</v>
      </c>
      <c r="B125" s="7" t="s">
        <v>215</v>
      </c>
      <c r="C125" s="7" t="s">
        <v>2074</v>
      </c>
      <c r="D125" s="7" t="s">
        <v>83</v>
      </c>
      <c r="E125" s="7" t="s">
        <v>82</v>
      </c>
      <c r="F125" s="24" t="s">
        <v>2142</v>
      </c>
      <c r="G125" s="12" t="n">
        <v>7105.52</v>
      </c>
      <c r="H125" s="12" t="n">
        <v>7105.52</v>
      </c>
      <c r="I125" s="12" t="n">
        <f aca="false">ROUND(H125-G125, 2)</f>
        <v>0</v>
      </c>
      <c r="J125" s="12" t="n">
        <f aca="false">ABS(I125)</f>
        <v>0</v>
      </c>
      <c r="K125" s="19" t="str">
        <f aca="false">IF(J125&lt;=Config!$B$2, "PASS", "FAIL")</f>
        <v>PASS</v>
      </c>
    </row>
    <row r="126" customFormat="false" ht="18.75" hidden="false" customHeight="true" outlineLevel="0" collapsed="false">
      <c r="A126" s="4" t="s">
        <v>2266</v>
      </c>
      <c r="B126" s="4" t="s">
        <v>220</v>
      </c>
      <c r="C126" s="4" t="s">
        <v>2063</v>
      </c>
      <c r="D126" s="4" t="s">
        <v>83</v>
      </c>
      <c r="E126" s="4" t="s">
        <v>82</v>
      </c>
      <c r="F126" s="24" t="s">
        <v>2142</v>
      </c>
      <c r="G126" s="10" t="n">
        <v>7341.17</v>
      </c>
      <c r="H126" s="10" t="n">
        <v>7341.17</v>
      </c>
      <c r="I126" s="10" t="n">
        <f aca="false">ROUND(H126-G126, 2)</f>
        <v>0</v>
      </c>
      <c r="J126" s="10" t="n">
        <f aca="false">ABS(I126)</f>
        <v>0</v>
      </c>
      <c r="K126" s="18" t="str">
        <f aca="false">IF(J126&lt;=Config!$B$2, "PASS", "FAIL")</f>
        <v>PASS</v>
      </c>
    </row>
    <row r="127" customFormat="false" ht="18.75" hidden="false" customHeight="true" outlineLevel="0" collapsed="false">
      <c r="A127" s="7" t="s">
        <v>2267</v>
      </c>
      <c r="B127" s="7" t="s">
        <v>99</v>
      </c>
      <c r="C127" s="7" t="s">
        <v>2063</v>
      </c>
      <c r="D127" s="7" t="s">
        <v>83</v>
      </c>
      <c r="E127" s="7" t="s">
        <v>82</v>
      </c>
      <c r="F127" s="24" t="s">
        <v>2142</v>
      </c>
      <c r="G127" s="12" t="n">
        <v>7483.73</v>
      </c>
      <c r="H127" s="12" t="n">
        <v>7483.73</v>
      </c>
      <c r="I127" s="12" t="n">
        <f aca="false">ROUND(H127-G127, 2)</f>
        <v>0</v>
      </c>
      <c r="J127" s="12" t="n">
        <f aca="false">ABS(I127)</f>
        <v>0</v>
      </c>
      <c r="K127" s="19" t="str">
        <f aca="false">IF(J127&lt;=Config!$B$2, "PASS", "FAIL")</f>
        <v>PASS</v>
      </c>
    </row>
    <row r="128" customFormat="false" ht="18.75" hidden="false" customHeight="true" outlineLevel="0" collapsed="false">
      <c r="A128" s="4" t="s">
        <v>2268</v>
      </c>
      <c r="B128" s="4" t="s">
        <v>105</v>
      </c>
      <c r="C128" s="4" t="s">
        <v>2067</v>
      </c>
      <c r="D128" s="4" t="s">
        <v>83</v>
      </c>
      <c r="E128" s="4" t="s">
        <v>82</v>
      </c>
      <c r="F128" s="24" t="s">
        <v>2142</v>
      </c>
      <c r="G128" s="10" t="n">
        <v>7690.84</v>
      </c>
      <c r="H128" s="10" t="n">
        <v>7690.84</v>
      </c>
      <c r="I128" s="10" t="n">
        <f aca="false">ROUND(H128-G128, 2)</f>
        <v>0</v>
      </c>
      <c r="J128" s="10" t="n">
        <f aca="false">ABS(I128)</f>
        <v>0</v>
      </c>
      <c r="K128" s="18" t="str">
        <f aca="false">IF(J128&lt;=Config!$B$2, "PASS", "FAIL")</f>
        <v>PASS</v>
      </c>
    </row>
    <row r="129" customFormat="false" ht="18.75" hidden="false" customHeight="true" outlineLevel="0" collapsed="false">
      <c r="A129" s="7" t="s">
        <v>2269</v>
      </c>
      <c r="B129" s="7" t="s">
        <v>110</v>
      </c>
      <c r="C129" s="7" t="s">
        <v>2071</v>
      </c>
      <c r="D129" s="7" t="s">
        <v>83</v>
      </c>
      <c r="E129" s="7" t="s">
        <v>82</v>
      </c>
      <c r="F129" s="24" t="s">
        <v>2142</v>
      </c>
      <c r="G129" s="12" t="n">
        <v>7783.05</v>
      </c>
      <c r="H129" s="12" t="n">
        <v>7783.05</v>
      </c>
      <c r="I129" s="12" t="n">
        <f aca="false">ROUND(H129-G129, 2)</f>
        <v>0</v>
      </c>
      <c r="J129" s="12" t="n">
        <f aca="false">ABS(I129)</f>
        <v>0</v>
      </c>
      <c r="K129" s="19" t="str">
        <f aca="false">IF(J129&lt;=Config!$B$2, "PASS", "FAIL")</f>
        <v>PASS</v>
      </c>
    </row>
    <row r="130" customFormat="false" ht="18.75" hidden="false" customHeight="true" outlineLevel="0" collapsed="false">
      <c r="A130" s="4" t="s">
        <v>2270</v>
      </c>
      <c r="B130" s="4" t="s">
        <v>115</v>
      </c>
      <c r="C130" s="4" t="s">
        <v>2074</v>
      </c>
      <c r="D130" s="4" t="s">
        <v>83</v>
      </c>
      <c r="E130" s="4" t="s">
        <v>82</v>
      </c>
      <c r="F130" s="24" t="s">
        <v>2142</v>
      </c>
      <c r="G130" s="10" t="n">
        <v>7996.39</v>
      </c>
      <c r="H130" s="10" t="n">
        <v>7996.39</v>
      </c>
      <c r="I130" s="10" t="n">
        <f aca="false">ROUND(H130-G130, 2)</f>
        <v>0</v>
      </c>
      <c r="J130" s="10" t="n">
        <f aca="false">ABS(I130)</f>
        <v>0</v>
      </c>
      <c r="K130" s="18" t="str">
        <f aca="false">IF(J130&lt;=Config!$B$2, "PASS", "FAIL")</f>
        <v>PASS</v>
      </c>
    </row>
    <row r="131" customFormat="false" ht="18.75" hidden="false" customHeight="true" outlineLevel="0" collapsed="false">
      <c r="A131" s="7" t="s">
        <v>2271</v>
      </c>
      <c r="B131" s="7" t="s">
        <v>120</v>
      </c>
      <c r="C131" s="7" t="s">
        <v>2063</v>
      </c>
      <c r="D131" s="7" t="s">
        <v>83</v>
      </c>
      <c r="E131" s="7" t="s">
        <v>82</v>
      </c>
      <c r="F131" s="24" t="s">
        <v>2142</v>
      </c>
      <c r="G131" s="12" t="n">
        <v>8140.91</v>
      </c>
      <c r="H131" s="12" t="n">
        <v>8140.91</v>
      </c>
      <c r="I131" s="12" t="n">
        <f aca="false">ROUND(H131-G131, 2)</f>
        <v>0</v>
      </c>
      <c r="J131" s="12" t="n">
        <f aca="false">ABS(I131)</f>
        <v>0</v>
      </c>
      <c r="K131" s="19" t="str">
        <f aca="false">IF(J131&lt;=Config!$B$2, "PASS", "FAIL")</f>
        <v>PASS</v>
      </c>
    </row>
    <row r="132" customFormat="false" ht="18.75" hidden="false" customHeight="true" outlineLevel="0" collapsed="false">
      <c r="A132" s="4" t="s">
        <v>2272</v>
      </c>
      <c r="B132" s="4" t="s">
        <v>125</v>
      </c>
      <c r="C132" s="4" t="s">
        <v>2067</v>
      </c>
      <c r="D132" s="4" t="s">
        <v>83</v>
      </c>
      <c r="E132" s="4" t="s">
        <v>82</v>
      </c>
      <c r="F132" s="24" t="s">
        <v>2142</v>
      </c>
      <c r="G132" s="10" t="n">
        <v>8320.74</v>
      </c>
      <c r="H132" s="10" t="n">
        <v>8320.74</v>
      </c>
      <c r="I132" s="10" t="n">
        <f aca="false">ROUND(H132-G132, 2)</f>
        <v>0</v>
      </c>
      <c r="J132" s="10" t="n">
        <f aca="false">ABS(I132)</f>
        <v>0</v>
      </c>
      <c r="K132" s="18" t="str">
        <f aca="false">IF(J132&lt;=Config!$B$2, "PASS", "FAIL")</f>
        <v>PASS</v>
      </c>
    </row>
    <row r="133" customFormat="false" ht="18.75" hidden="false" customHeight="true" outlineLevel="0" collapsed="false">
      <c r="A133" s="7" t="s">
        <v>2273</v>
      </c>
      <c r="B133" s="7" t="s">
        <v>130</v>
      </c>
      <c r="C133" s="7" t="s">
        <v>2071</v>
      </c>
      <c r="D133" s="7" t="s">
        <v>83</v>
      </c>
      <c r="E133" s="7" t="s">
        <v>82</v>
      </c>
      <c r="F133" s="24" t="s">
        <v>2142</v>
      </c>
      <c r="G133" s="12" t="n">
        <v>8530.77</v>
      </c>
      <c r="H133" s="12" t="n">
        <v>8530.77</v>
      </c>
      <c r="I133" s="12" t="n">
        <f aca="false">ROUND(H133-G133, 2)</f>
        <v>0</v>
      </c>
      <c r="J133" s="12" t="n">
        <f aca="false">ABS(I133)</f>
        <v>0</v>
      </c>
      <c r="K133" s="19" t="str">
        <f aca="false">IF(J133&lt;=Config!$B$2, "PASS", "FAIL")</f>
        <v>PASS</v>
      </c>
    </row>
    <row r="134" customFormat="false" ht="18.75" hidden="false" customHeight="true" outlineLevel="0" collapsed="false">
      <c r="A134" s="4" t="s">
        <v>2274</v>
      </c>
      <c r="B134" s="4" t="s">
        <v>135</v>
      </c>
      <c r="C134" s="4" t="s">
        <v>2074</v>
      </c>
      <c r="D134" s="4" t="s">
        <v>83</v>
      </c>
      <c r="E134" s="4" t="s">
        <v>82</v>
      </c>
      <c r="F134" s="24" t="s">
        <v>2142</v>
      </c>
      <c r="G134" s="10" t="n">
        <v>8604.54</v>
      </c>
      <c r="H134" s="10" t="n">
        <v>8604.54</v>
      </c>
      <c r="I134" s="10" t="n">
        <f aca="false">ROUND(H134-G134, 2)</f>
        <v>0</v>
      </c>
      <c r="J134" s="10" t="n">
        <f aca="false">ABS(I134)</f>
        <v>0</v>
      </c>
      <c r="K134" s="18" t="str">
        <f aca="false">IF(J134&lt;=Config!$B$2, "PASS", "FAIL")</f>
        <v>PASS</v>
      </c>
    </row>
    <row r="135" customFormat="false" ht="18.75" hidden="false" customHeight="true" outlineLevel="0" collapsed="false">
      <c r="A135" s="7" t="s">
        <v>2275</v>
      </c>
      <c r="B135" s="7" t="s">
        <v>140</v>
      </c>
      <c r="C135" s="7" t="s">
        <v>2063</v>
      </c>
      <c r="D135" s="7" t="s">
        <v>83</v>
      </c>
      <c r="E135" s="7" t="s">
        <v>82</v>
      </c>
      <c r="F135" s="24" t="s">
        <v>2142</v>
      </c>
      <c r="G135" s="12" t="n">
        <v>8887.79</v>
      </c>
      <c r="H135" s="12" t="n">
        <v>8887.79</v>
      </c>
      <c r="I135" s="12" t="n">
        <f aca="false">ROUND(H135-G135, 2)</f>
        <v>0</v>
      </c>
      <c r="J135" s="12" t="n">
        <f aca="false">ABS(I135)</f>
        <v>0</v>
      </c>
      <c r="K135" s="19" t="str">
        <f aca="false">IF(J135&lt;=Config!$B$2, "PASS", "FAIL")</f>
        <v>PASS</v>
      </c>
    </row>
    <row r="136" customFormat="false" ht="18.75" hidden="false" customHeight="true" outlineLevel="0" collapsed="false">
      <c r="A136" s="4" t="s">
        <v>2276</v>
      </c>
      <c r="B136" s="4" t="s">
        <v>145</v>
      </c>
      <c r="C136" s="4" t="s">
        <v>2067</v>
      </c>
      <c r="D136" s="4" t="s">
        <v>83</v>
      </c>
      <c r="E136" s="4" t="s">
        <v>82</v>
      </c>
      <c r="F136" s="24" t="s">
        <v>2142</v>
      </c>
      <c r="G136" s="10" t="n">
        <v>8974.68</v>
      </c>
      <c r="H136" s="10" t="n">
        <v>8974.68</v>
      </c>
      <c r="I136" s="10" t="n">
        <f aca="false">ROUND(H136-G136, 2)</f>
        <v>0</v>
      </c>
      <c r="J136" s="10" t="n">
        <f aca="false">ABS(I136)</f>
        <v>0</v>
      </c>
      <c r="K136" s="18" t="str">
        <f aca="false">IF(J136&lt;=Config!$B$2, "PASS", "FAIL")</f>
        <v>PASS</v>
      </c>
    </row>
    <row r="137" customFormat="false" ht="18.75" hidden="false" customHeight="true" outlineLevel="0" collapsed="false">
      <c r="A137" s="7" t="s">
        <v>2277</v>
      </c>
      <c r="B137" s="7" t="s">
        <v>150</v>
      </c>
      <c r="C137" s="7" t="s">
        <v>2071</v>
      </c>
      <c r="D137" s="7" t="s">
        <v>83</v>
      </c>
      <c r="E137" s="7" t="s">
        <v>82</v>
      </c>
      <c r="F137" s="24" t="s">
        <v>2142</v>
      </c>
      <c r="G137" s="12" t="n">
        <v>9171.35</v>
      </c>
      <c r="H137" s="12" t="n">
        <v>9171.35</v>
      </c>
      <c r="I137" s="12" t="n">
        <f aca="false">ROUND(H137-G137, 2)</f>
        <v>0</v>
      </c>
      <c r="J137" s="12" t="n">
        <f aca="false">ABS(I137)</f>
        <v>0</v>
      </c>
      <c r="K137" s="19" t="str">
        <f aca="false">IF(J137&lt;=Config!$B$2, "PASS", "FAIL")</f>
        <v>PASS</v>
      </c>
    </row>
    <row r="138" customFormat="false" ht="18.75" hidden="false" customHeight="true" outlineLevel="0" collapsed="false">
      <c r="A138" s="4" t="s">
        <v>2278</v>
      </c>
      <c r="B138" s="4" t="s">
        <v>155</v>
      </c>
      <c r="C138" s="4" t="s">
        <v>2074</v>
      </c>
      <c r="D138" s="4" t="s">
        <v>83</v>
      </c>
      <c r="E138" s="4" t="s">
        <v>82</v>
      </c>
      <c r="F138" s="24" t="s">
        <v>2142</v>
      </c>
      <c r="G138" s="10" t="n">
        <v>9369.62</v>
      </c>
      <c r="H138" s="10" t="n">
        <v>9369.62</v>
      </c>
      <c r="I138" s="10" t="n">
        <f aca="false">ROUND(H138-G138, 2)</f>
        <v>0</v>
      </c>
      <c r="J138" s="10" t="n">
        <f aca="false">ABS(I138)</f>
        <v>0</v>
      </c>
      <c r="K138" s="18" t="str">
        <f aca="false">IF(J138&lt;=Config!$B$2, "PASS", "FAIL")</f>
        <v>PASS</v>
      </c>
    </row>
    <row r="139" customFormat="false" ht="18.75" hidden="false" customHeight="true" outlineLevel="0" collapsed="false">
      <c r="A139" s="7" t="s">
        <v>2279</v>
      </c>
      <c r="B139" s="7" t="s">
        <v>160</v>
      </c>
      <c r="C139" s="7" t="s">
        <v>2063</v>
      </c>
      <c r="D139" s="7" t="s">
        <v>83</v>
      </c>
      <c r="E139" s="7" t="s">
        <v>82</v>
      </c>
      <c r="F139" s="24" t="s">
        <v>2142</v>
      </c>
      <c r="G139" s="12" t="n">
        <v>9497.32</v>
      </c>
      <c r="H139" s="12" t="n">
        <v>9497.32</v>
      </c>
      <c r="I139" s="12" t="n">
        <f aca="false">ROUND(H139-G139, 2)</f>
        <v>0</v>
      </c>
      <c r="J139" s="12" t="n">
        <f aca="false">ABS(I139)</f>
        <v>0</v>
      </c>
      <c r="K139" s="19" t="str">
        <f aca="false">IF(J139&lt;=Config!$B$2, "PASS", "FAIL")</f>
        <v>PASS</v>
      </c>
    </row>
    <row r="140" customFormat="false" ht="18.75" hidden="false" customHeight="true" outlineLevel="0" collapsed="false">
      <c r="A140" s="4" t="s">
        <v>2280</v>
      </c>
      <c r="B140" s="4" t="s">
        <v>165</v>
      </c>
      <c r="C140" s="4" t="s">
        <v>2067</v>
      </c>
      <c r="D140" s="4" t="s">
        <v>83</v>
      </c>
      <c r="E140" s="4" t="s">
        <v>82</v>
      </c>
      <c r="F140" s="24" t="s">
        <v>2142</v>
      </c>
      <c r="G140" s="10" t="n">
        <v>9715.11</v>
      </c>
      <c r="H140" s="10" t="n">
        <v>9715.11</v>
      </c>
      <c r="I140" s="10" t="n">
        <f aca="false">ROUND(H140-G140, 2)</f>
        <v>0</v>
      </c>
      <c r="J140" s="10" t="n">
        <f aca="false">ABS(I140)</f>
        <v>0</v>
      </c>
      <c r="K140" s="18" t="str">
        <f aca="false">IF(J140&lt;=Config!$B$2, "PASS", "FAIL")</f>
        <v>PASS</v>
      </c>
    </row>
    <row r="141" customFormat="false" ht="18.75" hidden="false" customHeight="true" outlineLevel="0" collapsed="false">
      <c r="A141" s="7" t="s">
        <v>2281</v>
      </c>
      <c r="B141" s="7" t="s">
        <v>170</v>
      </c>
      <c r="C141" s="7" t="s">
        <v>2071</v>
      </c>
      <c r="D141" s="7" t="s">
        <v>83</v>
      </c>
      <c r="E141" s="7" t="s">
        <v>82</v>
      </c>
      <c r="F141" s="24" t="s">
        <v>2142</v>
      </c>
      <c r="G141" s="12" t="n">
        <v>9769.97</v>
      </c>
      <c r="H141" s="12" t="n">
        <v>9769.97</v>
      </c>
      <c r="I141" s="12" t="n">
        <f aca="false">ROUND(H141-G141, 2)</f>
        <v>0</v>
      </c>
      <c r="J141" s="12" t="n">
        <f aca="false">ABS(I141)</f>
        <v>0</v>
      </c>
      <c r="K141" s="19" t="str">
        <f aca="false">IF(J141&lt;=Config!$B$2, "PASS", "FAIL")</f>
        <v>PASS</v>
      </c>
    </row>
    <row r="142" customFormat="false" ht="18.75" hidden="false" customHeight="true" outlineLevel="0" collapsed="false">
      <c r="A142" s="4" t="s">
        <v>2282</v>
      </c>
      <c r="B142" s="4" t="s">
        <v>175</v>
      </c>
      <c r="C142" s="4" t="s">
        <v>2074</v>
      </c>
      <c r="D142" s="4" t="s">
        <v>83</v>
      </c>
      <c r="E142" s="4" t="s">
        <v>82</v>
      </c>
      <c r="F142" s="24" t="s">
        <v>2142</v>
      </c>
      <c r="G142" s="10" t="n">
        <v>10066.84</v>
      </c>
      <c r="H142" s="10" t="n">
        <v>10066.84</v>
      </c>
      <c r="I142" s="10" t="n">
        <f aca="false">ROUND(H142-G142, 2)</f>
        <v>0</v>
      </c>
      <c r="J142" s="10" t="n">
        <f aca="false">ABS(I142)</f>
        <v>0</v>
      </c>
      <c r="K142" s="18" t="str">
        <f aca="false">IF(J142&lt;=Config!$B$2, "PASS", "FAIL")</f>
        <v>PASS</v>
      </c>
    </row>
    <row r="143" customFormat="false" ht="18.75" hidden="false" customHeight="true" outlineLevel="0" collapsed="false">
      <c r="A143" s="7" t="s">
        <v>2283</v>
      </c>
      <c r="B143" s="7" t="s">
        <v>180</v>
      </c>
      <c r="C143" s="7" t="s">
        <v>2063</v>
      </c>
      <c r="D143" s="7" t="s">
        <v>83</v>
      </c>
      <c r="E143" s="7" t="s">
        <v>82</v>
      </c>
      <c r="F143" s="24" t="s">
        <v>2142</v>
      </c>
      <c r="G143" s="12" t="n">
        <v>10161.26</v>
      </c>
      <c r="H143" s="12" t="n">
        <v>10161.26</v>
      </c>
      <c r="I143" s="12" t="n">
        <f aca="false">ROUND(H143-G143, 2)</f>
        <v>0</v>
      </c>
      <c r="J143" s="12" t="n">
        <f aca="false">ABS(I143)</f>
        <v>0</v>
      </c>
      <c r="K143" s="19" t="str">
        <f aca="false">IF(J143&lt;=Config!$B$2, "PASS", "FAIL")</f>
        <v>PASS</v>
      </c>
    </row>
    <row r="144" customFormat="false" ht="18.75" hidden="false" customHeight="true" outlineLevel="0" collapsed="false">
      <c r="A144" s="4" t="s">
        <v>2284</v>
      </c>
      <c r="B144" s="4" t="s">
        <v>185</v>
      </c>
      <c r="C144" s="4" t="s">
        <v>2067</v>
      </c>
      <c r="D144" s="4" t="s">
        <v>83</v>
      </c>
      <c r="E144" s="4" t="s">
        <v>82</v>
      </c>
      <c r="F144" s="24" t="s">
        <v>2142</v>
      </c>
      <c r="G144" s="10" t="n">
        <v>10298.53</v>
      </c>
      <c r="H144" s="10" t="n">
        <v>10298.53</v>
      </c>
      <c r="I144" s="10" t="n">
        <f aca="false">ROUND(H144-G144, 2)</f>
        <v>0</v>
      </c>
      <c r="J144" s="10" t="n">
        <f aca="false">ABS(I144)</f>
        <v>0</v>
      </c>
      <c r="K144" s="18" t="str">
        <f aca="false">IF(J144&lt;=Config!$B$2, "PASS", "FAIL")</f>
        <v>PASS</v>
      </c>
    </row>
    <row r="145" customFormat="false" ht="18.75" hidden="false" customHeight="true" outlineLevel="0" collapsed="false">
      <c r="A145" s="7" t="s">
        <v>2285</v>
      </c>
      <c r="B145" s="7" t="s">
        <v>190</v>
      </c>
      <c r="C145" s="7" t="s">
        <v>2071</v>
      </c>
      <c r="D145" s="7" t="s">
        <v>83</v>
      </c>
      <c r="E145" s="7" t="s">
        <v>82</v>
      </c>
      <c r="F145" s="24" t="s">
        <v>2142</v>
      </c>
      <c r="G145" s="12" t="n">
        <v>10544.5</v>
      </c>
      <c r="H145" s="12" t="n">
        <v>10544.5</v>
      </c>
      <c r="I145" s="12" t="n">
        <f aca="false">ROUND(H145-G145, 2)</f>
        <v>0</v>
      </c>
      <c r="J145" s="12" t="n">
        <f aca="false">ABS(I145)</f>
        <v>0</v>
      </c>
      <c r="K145" s="19" t="str">
        <f aca="false">IF(J145&lt;=Config!$B$2, "PASS", "FAIL")</f>
        <v>PASS</v>
      </c>
    </row>
    <row r="146" customFormat="false" ht="18.75" hidden="false" customHeight="true" outlineLevel="0" collapsed="false">
      <c r="A146" s="4" t="s">
        <v>2286</v>
      </c>
      <c r="B146" s="4" t="s">
        <v>195</v>
      </c>
      <c r="C146" s="4" t="s">
        <v>2074</v>
      </c>
      <c r="D146" s="4" t="s">
        <v>83</v>
      </c>
      <c r="E146" s="4" t="s">
        <v>82</v>
      </c>
      <c r="F146" s="24" t="s">
        <v>2142</v>
      </c>
      <c r="G146" s="10" t="n">
        <v>10720.37</v>
      </c>
      <c r="H146" s="10" t="n">
        <v>10720.37</v>
      </c>
      <c r="I146" s="10" t="n">
        <f aca="false">ROUND(H146-G146, 2)</f>
        <v>0</v>
      </c>
      <c r="J146" s="10" t="n">
        <f aca="false">ABS(I146)</f>
        <v>0</v>
      </c>
      <c r="K146" s="18" t="str">
        <f aca="false">IF(J146&lt;=Config!$B$2, "PASS", "FAIL")</f>
        <v>PASS</v>
      </c>
    </row>
    <row r="147" customFormat="false" ht="18.75" hidden="false" customHeight="true" outlineLevel="0" collapsed="false">
      <c r="A147" s="7" t="s">
        <v>2287</v>
      </c>
      <c r="B147" s="7" t="s">
        <v>200</v>
      </c>
      <c r="C147" s="7" t="s">
        <v>2063</v>
      </c>
      <c r="D147" s="7" t="s">
        <v>83</v>
      </c>
      <c r="E147" s="7" t="s">
        <v>82</v>
      </c>
      <c r="F147" s="24" t="s">
        <v>2142</v>
      </c>
      <c r="G147" s="12" t="n">
        <v>10863.49</v>
      </c>
      <c r="H147" s="12" t="n">
        <v>10863.49</v>
      </c>
      <c r="I147" s="12" t="n">
        <f aca="false">ROUND(H147-G147, 2)</f>
        <v>0</v>
      </c>
      <c r="J147" s="12" t="n">
        <f aca="false">ABS(I147)</f>
        <v>0</v>
      </c>
      <c r="K147" s="19" t="str">
        <f aca="false">IF(J147&lt;=Config!$B$2, "PASS", "FAIL")</f>
        <v>PASS</v>
      </c>
    </row>
    <row r="148" customFormat="false" ht="18.75" hidden="false" customHeight="true" outlineLevel="0" collapsed="false">
      <c r="A148" s="4" t="s">
        <v>2288</v>
      </c>
      <c r="B148" s="4" t="s">
        <v>205</v>
      </c>
      <c r="C148" s="4" t="s">
        <v>2067</v>
      </c>
      <c r="D148" s="4" t="s">
        <v>83</v>
      </c>
      <c r="E148" s="4" t="s">
        <v>82</v>
      </c>
      <c r="F148" s="24" t="s">
        <v>2142</v>
      </c>
      <c r="G148" s="10" t="n">
        <v>10992.46</v>
      </c>
      <c r="H148" s="10" t="n">
        <v>10992.46</v>
      </c>
      <c r="I148" s="10" t="n">
        <f aca="false">ROUND(H148-G148, 2)</f>
        <v>0</v>
      </c>
      <c r="J148" s="10" t="n">
        <f aca="false">ABS(I148)</f>
        <v>0</v>
      </c>
      <c r="K148" s="18" t="str">
        <f aca="false">IF(J148&lt;=Config!$B$2, "PASS", "FAIL")</f>
        <v>PASS</v>
      </c>
    </row>
    <row r="149" customFormat="false" ht="18.75" hidden="false" customHeight="true" outlineLevel="0" collapsed="false">
      <c r="A149" s="7" t="s">
        <v>2289</v>
      </c>
      <c r="B149" s="7" t="s">
        <v>210</v>
      </c>
      <c r="C149" s="7" t="s">
        <v>2071</v>
      </c>
      <c r="D149" s="7" t="s">
        <v>83</v>
      </c>
      <c r="E149" s="7" t="s">
        <v>82</v>
      </c>
      <c r="F149" s="24" t="s">
        <v>2142</v>
      </c>
      <c r="G149" s="12" t="n">
        <v>11236.88</v>
      </c>
      <c r="H149" s="12" t="n">
        <v>11236.88</v>
      </c>
      <c r="I149" s="12" t="n">
        <f aca="false">ROUND(H149-G149, 2)</f>
        <v>0</v>
      </c>
      <c r="J149" s="12" t="n">
        <f aca="false">ABS(I149)</f>
        <v>0</v>
      </c>
      <c r="K149" s="19" t="str">
        <f aca="false">IF(J149&lt;=Config!$B$2, "PASS", "FAIL")</f>
        <v>PASS</v>
      </c>
    </row>
    <row r="150" customFormat="false" ht="18.75" hidden="false" customHeight="true" outlineLevel="0" collapsed="false">
      <c r="A150" s="4" t="s">
        <v>2290</v>
      </c>
      <c r="B150" s="4" t="s">
        <v>215</v>
      </c>
      <c r="C150" s="4" t="s">
        <v>2074</v>
      </c>
      <c r="D150" s="4" t="s">
        <v>83</v>
      </c>
      <c r="E150" s="4" t="s">
        <v>82</v>
      </c>
      <c r="F150" s="24" t="s">
        <v>2142</v>
      </c>
      <c r="G150" s="10" t="n">
        <v>11314.97</v>
      </c>
      <c r="H150" s="10" t="n">
        <v>11314.97</v>
      </c>
      <c r="I150" s="10" t="n">
        <f aca="false">ROUND(H150-G150, 2)</f>
        <v>0</v>
      </c>
      <c r="J150" s="10" t="n">
        <f aca="false">ABS(I150)</f>
        <v>0</v>
      </c>
      <c r="K150" s="18" t="str">
        <f aca="false">IF(J150&lt;=Config!$B$2, "PASS", "FAIL")</f>
        <v>PASS</v>
      </c>
    </row>
    <row r="151" customFormat="false" ht="18.75" hidden="false" customHeight="true" outlineLevel="0" collapsed="false">
      <c r="A151" s="7" t="s">
        <v>2291</v>
      </c>
      <c r="B151" s="7" t="s">
        <v>220</v>
      </c>
      <c r="C151" s="7" t="s">
        <v>2063</v>
      </c>
      <c r="D151" s="7" t="s">
        <v>83</v>
      </c>
      <c r="E151" s="7" t="s">
        <v>82</v>
      </c>
      <c r="F151" s="24" t="s">
        <v>2142</v>
      </c>
      <c r="G151" s="12" t="n">
        <v>11589.86</v>
      </c>
      <c r="H151" s="12" t="n">
        <v>11589.86</v>
      </c>
      <c r="I151" s="12" t="n">
        <f aca="false">ROUND(H151-G151, 2)</f>
        <v>0</v>
      </c>
      <c r="J151" s="12" t="n">
        <f aca="false">ABS(I151)</f>
        <v>0</v>
      </c>
      <c r="K151" s="19" t="str">
        <f aca="false">IF(J151&lt;=Config!$B$2, "PASS", "FAIL")</f>
        <v>PASS</v>
      </c>
    </row>
    <row r="152" customFormat="false" ht="21.75" hidden="false" customHeight="true" outlineLevel="0" collapsed="false">
      <c r="A152" s="14" t="s">
        <v>85</v>
      </c>
      <c r="B152" s="14" t="s">
        <v>86</v>
      </c>
      <c r="C152" s="14" t="s">
        <v>86</v>
      </c>
      <c r="D152" s="14" t="s">
        <v>86</v>
      </c>
      <c r="E152" s="14" t="s">
        <v>86</v>
      </c>
      <c r="F152" s="20" t="s">
        <v>86</v>
      </c>
      <c r="G152" s="16" t="n">
        <f aca="false">SUM(G2:G151)</f>
        <v>1321548.21</v>
      </c>
      <c r="H152" s="16" t="n">
        <f aca="false">SUM(H2:H151)</f>
        <v>1321548.21</v>
      </c>
      <c r="I152" s="16" t="n">
        <f aca="false">SUM(I2:I151)</f>
        <v>0</v>
      </c>
      <c r="J152" s="16" t="n">
        <f aca="false">SUM(J2:J151)</f>
        <v>0</v>
      </c>
      <c r="K152" s="2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21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24" hidden="false" customHeight="true" outlineLevel="0" collapsed="false">
      <c r="A1" s="1" t="s">
        <v>2292</v>
      </c>
      <c r="B1" s="1" t="s">
        <v>2293</v>
      </c>
      <c r="C1" s="1" t="s">
        <v>89</v>
      </c>
      <c r="D1" s="1" t="s">
        <v>2055</v>
      </c>
      <c r="E1" s="1" t="s">
        <v>51</v>
      </c>
      <c r="F1" s="1" t="s">
        <v>2135</v>
      </c>
      <c r="G1" s="3" t="s">
        <v>2294</v>
      </c>
      <c r="H1" s="3" t="s">
        <v>2295</v>
      </c>
      <c r="I1" s="3" t="s">
        <v>2296</v>
      </c>
      <c r="J1" s="3" t="s">
        <v>2297</v>
      </c>
      <c r="K1" s="3" t="s">
        <v>2298</v>
      </c>
      <c r="L1" s="2" t="s">
        <v>4</v>
      </c>
    </row>
    <row r="2" customFormat="false" ht="18.75" hidden="false" customHeight="true" outlineLevel="0" collapsed="false">
      <c r="A2" s="4" t="s">
        <v>2299</v>
      </c>
      <c r="B2" s="4" t="s">
        <v>2141</v>
      </c>
      <c r="C2" s="4" t="s">
        <v>99</v>
      </c>
      <c r="D2" s="4" t="s">
        <v>2063</v>
      </c>
      <c r="E2" s="4" t="s">
        <v>82</v>
      </c>
      <c r="F2" s="4" t="s">
        <v>83</v>
      </c>
      <c r="G2" s="10" t="n">
        <v>4180.16</v>
      </c>
      <c r="H2" s="10" t="n">
        <v>4180.16</v>
      </c>
      <c r="I2" s="10" t="n">
        <f aca="false">ROUND(H2-G2, 2)</f>
        <v>0</v>
      </c>
      <c r="J2" s="10" t="n">
        <f aca="false">IF(L2="RESOLVED", 0, ABS(I2))</f>
        <v>0</v>
      </c>
      <c r="K2" s="6" t="n">
        <v>4</v>
      </c>
      <c r="L2" s="5" t="s">
        <v>2300</v>
      </c>
    </row>
    <row r="3" customFormat="false" ht="18.75" hidden="false" customHeight="true" outlineLevel="0" collapsed="false">
      <c r="A3" s="7" t="s">
        <v>2301</v>
      </c>
      <c r="B3" s="7" t="s">
        <v>2143</v>
      </c>
      <c r="C3" s="7" t="s">
        <v>105</v>
      </c>
      <c r="D3" s="7" t="s">
        <v>2067</v>
      </c>
      <c r="E3" s="7" t="s">
        <v>82</v>
      </c>
      <c r="F3" s="7" t="s">
        <v>83</v>
      </c>
      <c r="G3" s="12" t="n">
        <v>4371.35</v>
      </c>
      <c r="H3" s="12" t="n">
        <v>4371.35</v>
      </c>
      <c r="I3" s="12" t="n">
        <f aca="false">ROUND(H3-G3, 2)</f>
        <v>0</v>
      </c>
      <c r="J3" s="12" t="n">
        <f aca="false">IF(L3="RESOLVED", 0, ABS(I3))</f>
        <v>0</v>
      </c>
      <c r="K3" s="8" t="n">
        <v>4</v>
      </c>
      <c r="L3" s="5" t="s">
        <v>2300</v>
      </c>
    </row>
    <row r="4" customFormat="false" ht="18.75" hidden="false" customHeight="true" outlineLevel="0" collapsed="false">
      <c r="A4" s="4" t="s">
        <v>2302</v>
      </c>
      <c r="B4" s="4" t="s">
        <v>2144</v>
      </c>
      <c r="C4" s="4" t="s">
        <v>110</v>
      </c>
      <c r="D4" s="4" t="s">
        <v>2071</v>
      </c>
      <c r="E4" s="4" t="s">
        <v>82</v>
      </c>
      <c r="F4" s="4" t="s">
        <v>83</v>
      </c>
      <c r="G4" s="10" t="n">
        <v>4496.39</v>
      </c>
      <c r="H4" s="10" t="n">
        <v>4496.39</v>
      </c>
      <c r="I4" s="10" t="n">
        <f aca="false">ROUND(H4-G4, 2)</f>
        <v>0</v>
      </c>
      <c r="J4" s="10" t="n">
        <f aca="false">IF(L4="RESOLVED", 0, ABS(I4))</f>
        <v>0</v>
      </c>
      <c r="K4" s="6" t="n">
        <v>4</v>
      </c>
      <c r="L4" s="5" t="s">
        <v>2300</v>
      </c>
    </row>
    <row r="5" customFormat="false" ht="18.75" hidden="false" customHeight="true" outlineLevel="0" collapsed="false">
      <c r="A5" s="7" t="s">
        <v>2303</v>
      </c>
      <c r="B5" s="7" t="s">
        <v>2145</v>
      </c>
      <c r="C5" s="7" t="s">
        <v>115</v>
      </c>
      <c r="D5" s="7" t="s">
        <v>2074</v>
      </c>
      <c r="E5" s="7" t="s">
        <v>82</v>
      </c>
      <c r="F5" s="7" t="s">
        <v>83</v>
      </c>
      <c r="G5" s="12" t="n">
        <v>4690.85</v>
      </c>
      <c r="H5" s="12" t="n">
        <v>4690.85</v>
      </c>
      <c r="I5" s="12" t="n">
        <f aca="false">ROUND(H5-G5, 2)</f>
        <v>0</v>
      </c>
      <c r="J5" s="12" t="n">
        <f aca="false">IF(L5="RESOLVED", 0, ABS(I5))</f>
        <v>0</v>
      </c>
      <c r="K5" s="8" t="n">
        <v>4</v>
      </c>
      <c r="L5" s="5" t="s">
        <v>2300</v>
      </c>
    </row>
    <row r="6" customFormat="false" ht="18.75" hidden="false" customHeight="true" outlineLevel="0" collapsed="false">
      <c r="A6" s="4" t="s">
        <v>2304</v>
      </c>
      <c r="B6" s="4" t="s">
        <v>2146</v>
      </c>
      <c r="C6" s="4" t="s">
        <v>120</v>
      </c>
      <c r="D6" s="4" t="s">
        <v>2063</v>
      </c>
      <c r="E6" s="4" t="s">
        <v>82</v>
      </c>
      <c r="F6" s="4" t="s">
        <v>83</v>
      </c>
      <c r="G6" s="10" t="n">
        <v>4845.31</v>
      </c>
      <c r="H6" s="10" t="n">
        <v>4845.31</v>
      </c>
      <c r="I6" s="10" t="n">
        <f aca="false">ROUND(H6-G6, 2)</f>
        <v>0</v>
      </c>
      <c r="J6" s="10" t="n">
        <f aca="false">IF(L6="RESOLVED", 0, ABS(I6))</f>
        <v>0</v>
      </c>
      <c r="K6" s="6" t="n">
        <v>4</v>
      </c>
      <c r="L6" s="5" t="s">
        <v>2300</v>
      </c>
    </row>
    <row r="7" customFormat="false" ht="18.75" hidden="false" customHeight="true" outlineLevel="0" collapsed="false">
      <c r="A7" s="7" t="s">
        <v>2305</v>
      </c>
      <c r="B7" s="7" t="s">
        <v>2147</v>
      </c>
      <c r="C7" s="7" t="s">
        <v>125</v>
      </c>
      <c r="D7" s="7" t="s">
        <v>2067</v>
      </c>
      <c r="E7" s="7" t="s">
        <v>82</v>
      </c>
      <c r="F7" s="7" t="s">
        <v>83</v>
      </c>
      <c r="G7" s="12" t="n">
        <v>5021.16</v>
      </c>
      <c r="H7" s="12" t="n">
        <v>5021.16</v>
      </c>
      <c r="I7" s="12" t="n">
        <f aca="false">ROUND(H7-G7, 2)</f>
        <v>0</v>
      </c>
      <c r="J7" s="12" t="n">
        <f aca="false">IF(L7="RESOLVED", 0, ABS(I7))</f>
        <v>0</v>
      </c>
      <c r="K7" s="8" t="n">
        <v>4</v>
      </c>
      <c r="L7" s="5" t="s">
        <v>2300</v>
      </c>
    </row>
    <row r="8" customFormat="false" ht="18.75" hidden="false" customHeight="true" outlineLevel="0" collapsed="false">
      <c r="A8" s="4" t="s">
        <v>2306</v>
      </c>
      <c r="B8" s="4" t="s">
        <v>2148</v>
      </c>
      <c r="C8" s="4" t="s">
        <v>130</v>
      </c>
      <c r="D8" s="4" t="s">
        <v>2071</v>
      </c>
      <c r="E8" s="4" t="s">
        <v>82</v>
      </c>
      <c r="F8" s="4" t="s">
        <v>83</v>
      </c>
      <c r="G8" s="10" t="n">
        <v>5215.25</v>
      </c>
      <c r="H8" s="10" t="n">
        <v>5215.25</v>
      </c>
      <c r="I8" s="10" t="n">
        <f aca="false">ROUND(H8-G8, 2)</f>
        <v>0</v>
      </c>
      <c r="J8" s="10" t="n">
        <f aca="false">IF(L8="RESOLVED", 0, ABS(I8))</f>
        <v>0</v>
      </c>
      <c r="K8" s="6" t="n">
        <v>4</v>
      </c>
      <c r="L8" s="5" t="s">
        <v>2300</v>
      </c>
    </row>
    <row r="9" customFormat="false" ht="18.75" hidden="false" customHeight="true" outlineLevel="0" collapsed="false">
      <c r="A9" s="7" t="s">
        <v>2307</v>
      </c>
      <c r="B9" s="7" t="s">
        <v>2149</v>
      </c>
      <c r="C9" s="7" t="s">
        <v>135</v>
      </c>
      <c r="D9" s="7" t="s">
        <v>2074</v>
      </c>
      <c r="E9" s="7" t="s">
        <v>82</v>
      </c>
      <c r="F9" s="7" t="s">
        <v>83</v>
      </c>
      <c r="G9" s="12" t="n">
        <v>5324.88</v>
      </c>
      <c r="H9" s="12" t="n">
        <v>5324.88</v>
      </c>
      <c r="I9" s="12" t="n">
        <f aca="false">ROUND(H9-G9, 2)</f>
        <v>0</v>
      </c>
      <c r="J9" s="12" t="n">
        <f aca="false">IF(L9="RESOLVED", 0, ABS(I9))</f>
        <v>0</v>
      </c>
      <c r="K9" s="8" t="n">
        <v>4</v>
      </c>
      <c r="L9" s="5" t="s">
        <v>2300</v>
      </c>
    </row>
    <row r="10" customFormat="false" ht="18.75" hidden="false" customHeight="true" outlineLevel="0" collapsed="false">
      <c r="A10" s="4" t="s">
        <v>2308</v>
      </c>
      <c r="B10" s="4" t="s">
        <v>2150</v>
      </c>
      <c r="C10" s="4" t="s">
        <v>140</v>
      </c>
      <c r="D10" s="4" t="s">
        <v>2063</v>
      </c>
      <c r="E10" s="4" t="s">
        <v>82</v>
      </c>
      <c r="F10" s="4" t="s">
        <v>83</v>
      </c>
      <c r="G10" s="10" t="n">
        <v>5566.3</v>
      </c>
      <c r="H10" s="10" t="n">
        <v>5566.3</v>
      </c>
      <c r="I10" s="10" t="n">
        <f aca="false">ROUND(H10-G10, 2)</f>
        <v>0</v>
      </c>
      <c r="J10" s="10" t="n">
        <f aca="false">IF(L10="RESOLVED", 0, ABS(I10))</f>
        <v>0</v>
      </c>
      <c r="K10" s="6" t="n">
        <v>4</v>
      </c>
      <c r="L10" s="5" t="s">
        <v>2300</v>
      </c>
    </row>
    <row r="11" customFormat="false" ht="18.75" hidden="false" customHeight="true" outlineLevel="0" collapsed="false">
      <c r="A11" s="7" t="s">
        <v>2309</v>
      </c>
      <c r="B11" s="7" t="s">
        <v>2151</v>
      </c>
      <c r="C11" s="7" t="s">
        <v>145</v>
      </c>
      <c r="D11" s="7" t="s">
        <v>2067</v>
      </c>
      <c r="E11" s="7" t="s">
        <v>82</v>
      </c>
      <c r="F11" s="7" t="s">
        <v>83</v>
      </c>
      <c r="G11" s="12" t="n">
        <v>5684.05</v>
      </c>
      <c r="H11" s="12" t="n">
        <v>5684.05</v>
      </c>
      <c r="I11" s="12" t="n">
        <f aca="false">ROUND(H11-G11, 2)</f>
        <v>0</v>
      </c>
      <c r="J11" s="12" t="n">
        <f aca="false">IF(L11="RESOLVED", 0, ABS(I11))</f>
        <v>0</v>
      </c>
      <c r="K11" s="8" t="n">
        <v>4</v>
      </c>
      <c r="L11" s="5" t="s">
        <v>2300</v>
      </c>
    </row>
    <row r="12" customFormat="false" ht="18.75" hidden="false" customHeight="true" outlineLevel="0" collapsed="false">
      <c r="A12" s="4" t="s">
        <v>2310</v>
      </c>
      <c r="B12" s="4" t="s">
        <v>2152</v>
      </c>
      <c r="C12" s="4" t="s">
        <v>150</v>
      </c>
      <c r="D12" s="4" t="s">
        <v>2071</v>
      </c>
      <c r="E12" s="4" t="s">
        <v>82</v>
      </c>
      <c r="F12" s="4" t="s">
        <v>83</v>
      </c>
      <c r="G12" s="10" t="n">
        <v>5869.78</v>
      </c>
      <c r="H12" s="10" t="n">
        <v>5869.78</v>
      </c>
      <c r="I12" s="10" t="n">
        <f aca="false">ROUND(H12-G12, 2)</f>
        <v>0</v>
      </c>
      <c r="J12" s="10" t="n">
        <f aca="false">IF(L12="RESOLVED", 0, ABS(I12))</f>
        <v>0</v>
      </c>
      <c r="K12" s="6" t="n">
        <v>4</v>
      </c>
      <c r="L12" s="5" t="s">
        <v>2300</v>
      </c>
    </row>
    <row r="13" customFormat="false" ht="18.75" hidden="false" customHeight="true" outlineLevel="0" collapsed="false">
      <c r="A13" s="7" t="s">
        <v>2311</v>
      </c>
      <c r="B13" s="7" t="s">
        <v>2153</v>
      </c>
      <c r="C13" s="7" t="s">
        <v>155</v>
      </c>
      <c r="D13" s="7" t="s">
        <v>2074</v>
      </c>
      <c r="E13" s="7" t="s">
        <v>82</v>
      </c>
      <c r="F13" s="7" t="s">
        <v>83</v>
      </c>
      <c r="G13" s="12" t="n">
        <v>6058.1</v>
      </c>
      <c r="H13" s="12" t="n">
        <v>6058.1</v>
      </c>
      <c r="I13" s="12" t="n">
        <f aca="false">ROUND(H13-G13, 2)</f>
        <v>0</v>
      </c>
      <c r="J13" s="12" t="n">
        <f aca="false">IF(L13="RESOLVED", 0, ABS(I13))</f>
        <v>0</v>
      </c>
      <c r="K13" s="8" t="n">
        <v>4</v>
      </c>
      <c r="L13" s="5" t="s">
        <v>2300</v>
      </c>
    </row>
    <row r="14" customFormat="false" ht="18.75" hidden="false" customHeight="true" outlineLevel="0" collapsed="false">
      <c r="A14" s="4" t="s">
        <v>2312</v>
      </c>
      <c r="B14" s="4" t="s">
        <v>2154</v>
      </c>
      <c r="C14" s="4" t="s">
        <v>160</v>
      </c>
      <c r="D14" s="4" t="s">
        <v>2063</v>
      </c>
      <c r="E14" s="4" t="s">
        <v>82</v>
      </c>
      <c r="F14" s="4" t="s">
        <v>83</v>
      </c>
      <c r="G14" s="10" t="n">
        <v>6200.71</v>
      </c>
      <c r="H14" s="10" t="n">
        <v>6200.71</v>
      </c>
      <c r="I14" s="10" t="n">
        <f aca="false">ROUND(H14-G14, 2)</f>
        <v>0</v>
      </c>
      <c r="J14" s="10" t="n">
        <f aca="false">IF(L14="RESOLVED", 0, ABS(I14))</f>
        <v>0</v>
      </c>
      <c r="K14" s="6" t="n">
        <v>4</v>
      </c>
      <c r="L14" s="5" t="s">
        <v>2300</v>
      </c>
    </row>
    <row r="15" customFormat="false" ht="18.75" hidden="false" customHeight="true" outlineLevel="0" collapsed="false">
      <c r="A15" s="7" t="s">
        <v>2313</v>
      </c>
      <c r="B15" s="7" t="s">
        <v>2155</v>
      </c>
      <c r="C15" s="7" t="s">
        <v>165</v>
      </c>
      <c r="D15" s="7" t="s">
        <v>2067</v>
      </c>
      <c r="E15" s="7" t="s">
        <v>82</v>
      </c>
      <c r="F15" s="7" t="s">
        <v>83</v>
      </c>
      <c r="G15" s="12" t="n">
        <v>6401.59</v>
      </c>
      <c r="H15" s="12" t="n">
        <v>6401.59</v>
      </c>
      <c r="I15" s="12" t="n">
        <f aca="false">ROUND(H15-G15, 2)</f>
        <v>0</v>
      </c>
      <c r="J15" s="12" t="n">
        <f aca="false">IF(L15="RESOLVED", 0, ABS(I15))</f>
        <v>0</v>
      </c>
      <c r="K15" s="8" t="n">
        <v>4</v>
      </c>
      <c r="L15" s="5" t="s">
        <v>2300</v>
      </c>
    </row>
    <row r="16" customFormat="false" ht="18.75" hidden="false" customHeight="true" outlineLevel="0" collapsed="false">
      <c r="A16" s="4" t="s">
        <v>2314</v>
      </c>
      <c r="B16" s="4" t="s">
        <v>2156</v>
      </c>
      <c r="C16" s="4" t="s">
        <v>170</v>
      </c>
      <c r="D16" s="4" t="s">
        <v>2071</v>
      </c>
      <c r="E16" s="4" t="s">
        <v>82</v>
      </c>
      <c r="F16" s="4" t="s">
        <v>83</v>
      </c>
      <c r="G16" s="10" t="n">
        <v>6494.3</v>
      </c>
      <c r="H16" s="10" t="n">
        <v>6494.3</v>
      </c>
      <c r="I16" s="10" t="n">
        <f aca="false">ROUND(H16-G16, 2)</f>
        <v>0</v>
      </c>
      <c r="J16" s="10" t="n">
        <f aca="false">IF(L16="RESOLVED", 0, ABS(I16))</f>
        <v>0</v>
      </c>
      <c r="K16" s="6" t="n">
        <v>4</v>
      </c>
      <c r="L16" s="5" t="s">
        <v>2300</v>
      </c>
    </row>
    <row r="17" customFormat="false" ht="18.75" hidden="false" customHeight="true" outlineLevel="0" collapsed="false">
      <c r="A17" s="7" t="s">
        <v>2315</v>
      </c>
      <c r="B17" s="7" t="s">
        <v>2157</v>
      </c>
      <c r="C17" s="7" t="s">
        <v>175</v>
      </c>
      <c r="D17" s="7" t="s">
        <v>2074</v>
      </c>
      <c r="E17" s="7" t="s">
        <v>82</v>
      </c>
      <c r="F17" s="7" t="s">
        <v>83</v>
      </c>
      <c r="G17" s="12" t="n">
        <v>6749.34</v>
      </c>
      <c r="H17" s="12" t="n">
        <v>6749.34</v>
      </c>
      <c r="I17" s="12" t="n">
        <f aca="false">ROUND(H17-G17, 2)</f>
        <v>0</v>
      </c>
      <c r="J17" s="12" t="n">
        <f aca="false">IF(L17="RESOLVED", 0, ABS(I17))</f>
        <v>0</v>
      </c>
      <c r="K17" s="8" t="n">
        <v>4</v>
      </c>
      <c r="L17" s="5" t="s">
        <v>2300</v>
      </c>
    </row>
    <row r="18" customFormat="false" ht="18.75" hidden="false" customHeight="true" outlineLevel="0" collapsed="false">
      <c r="A18" s="4" t="s">
        <v>2316</v>
      </c>
      <c r="B18" s="4" t="s">
        <v>2158</v>
      </c>
      <c r="C18" s="4" t="s">
        <v>180</v>
      </c>
      <c r="D18" s="4" t="s">
        <v>2063</v>
      </c>
      <c r="E18" s="4" t="s">
        <v>82</v>
      </c>
      <c r="F18" s="4" t="s">
        <v>83</v>
      </c>
      <c r="G18" s="10" t="n">
        <v>6868.64</v>
      </c>
      <c r="H18" s="10" t="n">
        <v>6868.64</v>
      </c>
      <c r="I18" s="10" t="n">
        <f aca="false">ROUND(H18-G18, 2)</f>
        <v>0</v>
      </c>
      <c r="J18" s="10" t="n">
        <f aca="false">IF(L18="RESOLVED", 0, ABS(I18))</f>
        <v>0</v>
      </c>
      <c r="K18" s="6" t="n">
        <v>4</v>
      </c>
      <c r="L18" s="5" t="s">
        <v>2300</v>
      </c>
    </row>
    <row r="19" customFormat="false" ht="18.75" hidden="false" customHeight="true" outlineLevel="0" collapsed="false">
      <c r="A19" s="7" t="s">
        <v>2317</v>
      </c>
      <c r="B19" s="7" t="s">
        <v>2159</v>
      </c>
      <c r="C19" s="7" t="s">
        <v>185</v>
      </c>
      <c r="D19" s="7" t="s">
        <v>2067</v>
      </c>
      <c r="E19" s="7" t="s">
        <v>82</v>
      </c>
      <c r="F19" s="7" t="s">
        <v>83</v>
      </c>
      <c r="G19" s="12" t="n">
        <v>7014.88</v>
      </c>
      <c r="H19" s="12" t="n">
        <v>7014.88</v>
      </c>
      <c r="I19" s="12" t="n">
        <f aca="false">ROUND(H19-G19, 2)</f>
        <v>0</v>
      </c>
      <c r="J19" s="12" t="n">
        <f aca="false">IF(L19="RESOLVED", 0, ABS(I19))</f>
        <v>0</v>
      </c>
      <c r="K19" s="8" t="n">
        <v>4</v>
      </c>
      <c r="L19" s="5" t="s">
        <v>2300</v>
      </c>
    </row>
    <row r="20" customFormat="false" ht="18.75" hidden="false" customHeight="true" outlineLevel="0" collapsed="false">
      <c r="A20" s="4" t="s">
        <v>2318</v>
      </c>
      <c r="B20" s="4" t="s">
        <v>2160</v>
      </c>
      <c r="C20" s="4" t="s">
        <v>190</v>
      </c>
      <c r="D20" s="4" t="s">
        <v>2071</v>
      </c>
      <c r="E20" s="4" t="s">
        <v>82</v>
      </c>
      <c r="F20" s="4" t="s">
        <v>83</v>
      </c>
      <c r="G20" s="10" t="n">
        <v>7236.95</v>
      </c>
      <c r="H20" s="10" t="n">
        <v>7236.95</v>
      </c>
      <c r="I20" s="10" t="n">
        <f aca="false">ROUND(H20-G20, 2)</f>
        <v>0</v>
      </c>
      <c r="J20" s="10" t="n">
        <f aca="false">IF(L20="RESOLVED", 0, ABS(I20))</f>
        <v>0</v>
      </c>
      <c r="K20" s="6" t="n">
        <v>4</v>
      </c>
      <c r="L20" s="5" t="s">
        <v>2300</v>
      </c>
    </row>
    <row r="21" customFormat="false" ht="18.75" hidden="false" customHeight="true" outlineLevel="0" collapsed="false">
      <c r="A21" s="7" t="s">
        <v>2319</v>
      </c>
      <c r="B21" s="7" t="s">
        <v>2161</v>
      </c>
      <c r="C21" s="7" t="s">
        <v>195</v>
      </c>
      <c r="D21" s="7" t="s">
        <v>2074</v>
      </c>
      <c r="E21" s="7" t="s">
        <v>82</v>
      </c>
      <c r="F21" s="7" t="s">
        <v>83</v>
      </c>
      <c r="G21" s="12" t="n">
        <v>7411.82</v>
      </c>
      <c r="H21" s="12" t="n">
        <v>7411.82</v>
      </c>
      <c r="I21" s="12" t="n">
        <f aca="false">ROUND(H21-G21, 2)</f>
        <v>0</v>
      </c>
      <c r="J21" s="12" t="n">
        <f aca="false">IF(L21="RESOLVED", 0, ABS(I21))</f>
        <v>0</v>
      </c>
      <c r="K21" s="8" t="n">
        <v>4</v>
      </c>
      <c r="L21" s="5" t="s">
        <v>2300</v>
      </c>
    </row>
    <row r="22" customFormat="false" ht="18.75" hidden="false" customHeight="true" outlineLevel="0" collapsed="false">
      <c r="A22" s="4" t="s">
        <v>2320</v>
      </c>
      <c r="B22" s="4" t="s">
        <v>2162</v>
      </c>
      <c r="C22" s="4" t="s">
        <v>200</v>
      </c>
      <c r="D22" s="4" t="s">
        <v>2063</v>
      </c>
      <c r="E22" s="4" t="s">
        <v>82</v>
      </c>
      <c r="F22" s="4" t="s">
        <v>83</v>
      </c>
      <c r="G22" s="10" t="n">
        <v>7561.92</v>
      </c>
      <c r="H22" s="10" t="n">
        <v>7561.92</v>
      </c>
      <c r="I22" s="10" t="n">
        <f aca="false">ROUND(H22-G22, 2)</f>
        <v>0</v>
      </c>
      <c r="J22" s="10" t="n">
        <f aca="false">IF(L22="RESOLVED", 0, ABS(I22))</f>
        <v>0</v>
      </c>
      <c r="K22" s="6" t="n">
        <v>4</v>
      </c>
      <c r="L22" s="5" t="s">
        <v>2300</v>
      </c>
    </row>
    <row r="23" customFormat="false" ht="18.75" hidden="false" customHeight="true" outlineLevel="0" collapsed="false">
      <c r="A23" s="7" t="s">
        <v>2321</v>
      </c>
      <c r="B23" s="7" t="s">
        <v>2163</v>
      </c>
      <c r="C23" s="7" t="s">
        <v>205</v>
      </c>
      <c r="D23" s="7" t="s">
        <v>2067</v>
      </c>
      <c r="E23" s="7" t="s">
        <v>82</v>
      </c>
      <c r="F23" s="7" t="s">
        <v>83</v>
      </c>
      <c r="G23" s="12" t="n">
        <v>7702.84</v>
      </c>
      <c r="H23" s="12" t="n">
        <v>7702.84</v>
      </c>
      <c r="I23" s="12" t="n">
        <f aca="false">ROUND(H23-G23, 2)</f>
        <v>0</v>
      </c>
      <c r="J23" s="12" t="n">
        <f aca="false">IF(L23="RESOLVED", 0, ABS(I23))</f>
        <v>0</v>
      </c>
      <c r="K23" s="8" t="n">
        <v>4</v>
      </c>
      <c r="L23" s="5" t="s">
        <v>2300</v>
      </c>
    </row>
    <row r="24" customFormat="false" ht="18.75" hidden="false" customHeight="true" outlineLevel="0" collapsed="false">
      <c r="A24" s="4" t="s">
        <v>2322</v>
      </c>
      <c r="B24" s="4" t="s">
        <v>2164</v>
      </c>
      <c r="C24" s="4" t="s">
        <v>210</v>
      </c>
      <c r="D24" s="4" t="s">
        <v>2071</v>
      </c>
      <c r="E24" s="4" t="s">
        <v>82</v>
      </c>
      <c r="F24" s="4" t="s">
        <v>83</v>
      </c>
      <c r="G24" s="10" t="n">
        <v>7925.36</v>
      </c>
      <c r="H24" s="10" t="n">
        <v>7925.36</v>
      </c>
      <c r="I24" s="10" t="n">
        <f aca="false">ROUND(H24-G24, 2)</f>
        <v>0</v>
      </c>
      <c r="J24" s="10" t="n">
        <f aca="false">IF(L24="RESOLVED", 0, ABS(I24))</f>
        <v>0</v>
      </c>
      <c r="K24" s="6" t="n">
        <v>4</v>
      </c>
      <c r="L24" s="5" t="s">
        <v>2300</v>
      </c>
    </row>
    <row r="25" customFormat="false" ht="18.75" hidden="false" customHeight="true" outlineLevel="0" collapsed="false">
      <c r="A25" s="7" t="s">
        <v>2323</v>
      </c>
      <c r="B25" s="7" t="s">
        <v>2165</v>
      </c>
      <c r="C25" s="7" t="s">
        <v>215</v>
      </c>
      <c r="D25" s="7" t="s">
        <v>2074</v>
      </c>
      <c r="E25" s="7" t="s">
        <v>82</v>
      </c>
      <c r="F25" s="7" t="s">
        <v>83</v>
      </c>
      <c r="G25" s="12" t="n">
        <v>8030.31</v>
      </c>
      <c r="H25" s="12" t="n">
        <v>8030.31</v>
      </c>
      <c r="I25" s="12" t="n">
        <f aca="false">ROUND(H25-G25, 2)</f>
        <v>0</v>
      </c>
      <c r="J25" s="12" t="n">
        <f aca="false">IF(L25="RESOLVED", 0, ABS(I25))</f>
        <v>0</v>
      </c>
      <c r="K25" s="8" t="n">
        <v>4</v>
      </c>
      <c r="L25" s="5" t="s">
        <v>2300</v>
      </c>
    </row>
    <row r="26" customFormat="false" ht="18.75" hidden="false" customHeight="true" outlineLevel="0" collapsed="false">
      <c r="A26" s="4" t="s">
        <v>2324</v>
      </c>
      <c r="B26" s="4" t="s">
        <v>2166</v>
      </c>
      <c r="C26" s="4" t="s">
        <v>220</v>
      </c>
      <c r="D26" s="4" t="s">
        <v>2063</v>
      </c>
      <c r="E26" s="4" t="s">
        <v>82</v>
      </c>
      <c r="F26" s="4" t="s">
        <v>83</v>
      </c>
      <c r="G26" s="10" t="n">
        <v>8274.35</v>
      </c>
      <c r="H26" s="10" t="n">
        <v>8274.35</v>
      </c>
      <c r="I26" s="10" t="n">
        <f aca="false">ROUND(H26-G26, 2)</f>
        <v>0</v>
      </c>
      <c r="J26" s="10" t="n">
        <f aca="false">IF(L26="RESOLVED", 0, ABS(I26))</f>
        <v>0</v>
      </c>
      <c r="K26" s="6" t="n">
        <v>4</v>
      </c>
      <c r="L26" s="5" t="s">
        <v>2300</v>
      </c>
    </row>
    <row r="27" customFormat="false" ht="18.75" hidden="false" customHeight="true" outlineLevel="0" collapsed="false">
      <c r="A27" s="7" t="s">
        <v>2325</v>
      </c>
      <c r="B27" s="7" t="s">
        <v>2167</v>
      </c>
      <c r="C27" s="7" t="s">
        <v>99</v>
      </c>
      <c r="D27" s="7" t="s">
        <v>2063</v>
      </c>
      <c r="E27" s="7" t="s">
        <v>82</v>
      </c>
      <c r="F27" s="7" t="s">
        <v>83</v>
      </c>
      <c r="G27" s="12" t="n">
        <v>8413.55</v>
      </c>
      <c r="H27" s="12" t="n">
        <v>8413.55</v>
      </c>
      <c r="I27" s="12" t="n">
        <f aca="false">ROUND(H27-G27, 2)</f>
        <v>0</v>
      </c>
      <c r="J27" s="12" t="n">
        <f aca="false">IF(L27="RESOLVED", 0, ABS(I27))</f>
        <v>0</v>
      </c>
      <c r="K27" s="8" t="n">
        <v>4</v>
      </c>
      <c r="L27" s="5" t="s">
        <v>2300</v>
      </c>
    </row>
    <row r="28" customFormat="false" ht="18.75" hidden="false" customHeight="true" outlineLevel="0" collapsed="false">
      <c r="A28" s="4" t="s">
        <v>2326</v>
      </c>
      <c r="B28" s="4" t="s">
        <v>2168</v>
      </c>
      <c r="C28" s="4" t="s">
        <v>105</v>
      </c>
      <c r="D28" s="4" t="s">
        <v>2067</v>
      </c>
      <c r="E28" s="4" t="s">
        <v>82</v>
      </c>
      <c r="F28" s="4" t="s">
        <v>83</v>
      </c>
      <c r="G28" s="10" t="n">
        <v>8625.14</v>
      </c>
      <c r="H28" s="10" t="n">
        <v>8625.14</v>
      </c>
      <c r="I28" s="10" t="n">
        <f aca="false">ROUND(H28-G28, 2)</f>
        <v>0</v>
      </c>
      <c r="J28" s="10" t="n">
        <f aca="false">IF(L28="RESOLVED", 0, ABS(I28))</f>
        <v>0</v>
      </c>
      <c r="K28" s="6" t="n">
        <v>4</v>
      </c>
      <c r="L28" s="5" t="s">
        <v>2300</v>
      </c>
    </row>
    <row r="29" customFormat="false" ht="18.75" hidden="false" customHeight="true" outlineLevel="0" collapsed="false">
      <c r="A29" s="7" t="s">
        <v>2327</v>
      </c>
      <c r="B29" s="7" t="s">
        <v>2169</v>
      </c>
      <c r="C29" s="7" t="s">
        <v>110</v>
      </c>
      <c r="D29" s="7" t="s">
        <v>2071</v>
      </c>
      <c r="E29" s="7" t="s">
        <v>82</v>
      </c>
      <c r="F29" s="7" t="s">
        <v>83</v>
      </c>
      <c r="G29" s="12" t="n">
        <v>8708.39</v>
      </c>
      <c r="H29" s="12" t="n">
        <v>8708.39</v>
      </c>
      <c r="I29" s="12" t="n">
        <f aca="false">ROUND(H29-G29, 2)</f>
        <v>0</v>
      </c>
      <c r="J29" s="12" t="n">
        <f aca="false">IF(L29="RESOLVED", 0, ABS(I29))</f>
        <v>0</v>
      </c>
      <c r="K29" s="8" t="n">
        <v>4</v>
      </c>
      <c r="L29" s="5" t="s">
        <v>2300</v>
      </c>
    </row>
    <row r="30" customFormat="false" ht="18.75" hidden="false" customHeight="true" outlineLevel="0" collapsed="false">
      <c r="A30" s="4" t="s">
        <v>2328</v>
      </c>
      <c r="B30" s="4" t="s">
        <v>2170</v>
      </c>
      <c r="C30" s="4" t="s">
        <v>115</v>
      </c>
      <c r="D30" s="4" t="s">
        <v>2074</v>
      </c>
      <c r="E30" s="4" t="s">
        <v>82</v>
      </c>
      <c r="F30" s="4" t="s">
        <v>83</v>
      </c>
      <c r="G30" s="10" t="n">
        <v>8926.78</v>
      </c>
      <c r="H30" s="10" t="n">
        <v>8926.78</v>
      </c>
      <c r="I30" s="10" t="n">
        <f aca="false">ROUND(H30-G30, 2)</f>
        <v>0</v>
      </c>
      <c r="J30" s="10" t="n">
        <f aca="false">IF(L30="RESOLVED", 0, ABS(I30))</f>
        <v>0</v>
      </c>
      <c r="K30" s="6" t="n">
        <v>4</v>
      </c>
      <c r="L30" s="5" t="s">
        <v>2300</v>
      </c>
    </row>
    <row r="31" customFormat="false" ht="18.75" hidden="false" customHeight="true" outlineLevel="0" collapsed="false">
      <c r="A31" s="7" t="s">
        <v>2329</v>
      </c>
      <c r="B31" s="7" t="s">
        <v>2171</v>
      </c>
      <c r="C31" s="7" t="s">
        <v>120</v>
      </c>
      <c r="D31" s="7" t="s">
        <v>2063</v>
      </c>
      <c r="E31" s="7" t="s">
        <v>82</v>
      </c>
      <c r="F31" s="7" t="s">
        <v>83</v>
      </c>
      <c r="G31" s="12" t="n">
        <v>9068.49</v>
      </c>
      <c r="H31" s="12" t="n">
        <v>9068.49</v>
      </c>
      <c r="I31" s="12" t="n">
        <f aca="false">ROUND(H31-G31, 2)</f>
        <v>0</v>
      </c>
      <c r="J31" s="12" t="n">
        <f aca="false">IF(L31="RESOLVED", 0, ABS(I31))</f>
        <v>0</v>
      </c>
      <c r="K31" s="8" t="n">
        <v>4</v>
      </c>
      <c r="L31" s="5" t="s">
        <v>2300</v>
      </c>
    </row>
    <row r="32" customFormat="false" ht="18.75" hidden="false" customHeight="true" outlineLevel="0" collapsed="false">
      <c r="A32" s="4" t="s">
        <v>2330</v>
      </c>
      <c r="B32" s="4" t="s">
        <v>2172</v>
      </c>
      <c r="C32" s="4" t="s">
        <v>125</v>
      </c>
      <c r="D32" s="4" t="s">
        <v>2067</v>
      </c>
      <c r="E32" s="4" t="s">
        <v>82</v>
      </c>
      <c r="F32" s="4" t="s">
        <v>83</v>
      </c>
      <c r="G32" s="10" t="n">
        <v>9249.44</v>
      </c>
      <c r="H32" s="10" t="n">
        <v>9249.44</v>
      </c>
      <c r="I32" s="10" t="n">
        <f aca="false">ROUND(H32-G32, 2)</f>
        <v>0</v>
      </c>
      <c r="J32" s="10" t="n">
        <f aca="false">IF(L32="RESOLVED", 0, ABS(I32))</f>
        <v>0</v>
      </c>
      <c r="K32" s="6" t="n">
        <v>4</v>
      </c>
      <c r="L32" s="5" t="s">
        <v>2300</v>
      </c>
    </row>
    <row r="33" customFormat="false" ht="18.75" hidden="false" customHeight="true" outlineLevel="0" collapsed="false">
      <c r="A33" s="7" t="s">
        <v>2331</v>
      </c>
      <c r="B33" s="7" t="s">
        <v>2173</v>
      </c>
      <c r="C33" s="7" t="s">
        <v>130</v>
      </c>
      <c r="D33" s="7" t="s">
        <v>2071</v>
      </c>
      <c r="E33" s="7" t="s">
        <v>82</v>
      </c>
      <c r="F33" s="7" t="s">
        <v>83</v>
      </c>
      <c r="G33" s="12" t="n">
        <v>9463.95</v>
      </c>
      <c r="H33" s="12" t="n">
        <v>9463.95</v>
      </c>
      <c r="I33" s="12" t="n">
        <f aca="false">ROUND(H33-G33, 2)</f>
        <v>0</v>
      </c>
      <c r="J33" s="12" t="n">
        <f aca="false">IF(L33="RESOLVED", 0, ABS(I33))</f>
        <v>0</v>
      </c>
      <c r="K33" s="8" t="n">
        <v>4</v>
      </c>
      <c r="L33" s="5" t="s">
        <v>2300</v>
      </c>
    </row>
    <row r="34" customFormat="false" ht="18.75" hidden="false" customHeight="true" outlineLevel="0" collapsed="false">
      <c r="A34" s="4" t="s">
        <v>2332</v>
      </c>
      <c r="B34" s="4" t="s">
        <v>2174</v>
      </c>
      <c r="C34" s="4" t="s">
        <v>135</v>
      </c>
      <c r="D34" s="4" t="s">
        <v>2074</v>
      </c>
      <c r="E34" s="4" t="s">
        <v>82</v>
      </c>
      <c r="F34" s="4" t="s">
        <v>83</v>
      </c>
      <c r="G34" s="10" t="n">
        <v>9527.63</v>
      </c>
      <c r="H34" s="10" t="n">
        <v>9527.63</v>
      </c>
      <c r="I34" s="10" t="n">
        <f aca="false">ROUND(H34-G34, 2)</f>
        <v>0</v>
      </c>
      <c r="J34" s="10" t="n">
        <f aca="false">IF(L34="RESOLVED", 0, ABS(I34))</f>
        <v>0</v>
      </c>
      <c r="K34" s="6" t="n">
        <v>4</v>
      </c>
      <c r="L34" s="5" t="s">
        <v>2300</v>
      </c>
    </row>
    <row r="35" customFormat="false" ht="18.75" hidden="false" customHeight="true" outlineLevel="0" collapsed="false">
      <c r="A35" s="7" t="s">
        <v>2333</v>
      </c>
      <c r="B35" s="7" t="s">
        <v>2175</v>
      </c>
      <c r="C35" s="7" t="s">
        <v>140</v>
      </c>
      <c r="D35" s="7" t="s">
        <v>2063</v>
      </c>
      <c r="E35" s="7" t="s">
        <v>82</v>
      </c>
      <c r="F35" s="7" t="s">
        <v>83</v>
      </c>
      <c r="G35" s="12" t="n">
        <v>9822.65</v>
      </c>
      <c r="H35" s="12" t="n">
        <v>9822.65</v>
      </c>
      <c r="I35" s="12" t="n">
        <f aca="false">ROUND(H35-G35, 2)</f>
        <v>0</v>
      </c>
      <c r="J35" s="12" t="n">
        <f aca="false">IF(L35="RESOLVED", 0, ABS(I35))</f>
        <v>0</v>
      </c>
      <c r="K35" s="8" t="n">
        <v>4</v>
      </c>
      <c r="L35" s="5" t="s">
        <v>2300</v>
      </c>
    </row>
    <row r="36" customFormat="false" ht="18.75" hidden="false" customHeight="true" outlineLevel="0" collapsed="false">
      <c r="A36" s="4" t="s">
        <v>2334</v>
      </c>
      <c r="B36" s="4" t="s">
        <v>2176</v>
      </c>
      <c r="C36" s="4" t="s">
        <v>145</v>
      </c>
      <c r="D36" s="4" t="s">
        <v>2067</v>
      </c>
      <c r="E36" s="4" t="s">
        <v>82</v>
      </c>
      <c r="F36" s="4" t="s">
        <v>83</v>
      </c>
      <c r="G36" s="10" t="n">
        <v>9901.14</v>
      </c>
      <c r="H36" s="10" t="n">
        <v>9901.14</v>
      </c>
      <c r="I36" s="10" t="n">
        <f aca="false">ROUND(H36-G36, 2)</f>
        <v>0</v>
      </c>
      <c r="J36" s="10" t="n">
        <f aca="false">IF(L36="RESOLVED", 0, ABS(I36))</f>
        <v>0</v>
      </c>
      <c r="K36" s="6" t="n">
        <v>4</v>
      </c>
      <c r="L36" s="5" t="s">
        <v>2300</v>
      </c>
    </row>
    <row r="37" customFormat="false" ht="18.75" hidden="false" customHeight="true" outlineLevel="0" collapsed="false">
      <c r="A37" s="7" t="s">
        <v>2335</v>
      </c>
      <c r="B37" s="7" t="s">
        <v>2177</v>
      </c>
      <c r="C37" s="7" t="s">
        <v>150</v>
      </c>
      <c r="D37" s="7" t="s">
        <v>2071</v>
      </c>
      <c r="E37" s="7" t="s">
        <v>82</v>
      </c>
      <c r="F37" s="7" t="s">
        <v>83</v>
      </c>
      <c r="G37" s="12" t="n">
        <v>10100.61</v>
      </c>
      <c r="H37" s="12" t="n">
        <v>10100.61</v>
      </c>
      <c r="I37" s="12" t="n">
        <f aca="false">ROUND(H37-G37, 2)</f>
        <v>0</v>
      </c>
      <c r="J37" s="12" t="n">
        <f aca="false">IF(L37="RESOLVED", 0, ABS(I37))</f>
        <v>0</v>
      </c>
      <c r="K37" s="8" t="n">
        <v>4</v>
      </c>
      <c r="L37" s="5" t="s">
        <v>2300</v>
      </c>
    </row>
    <row r="38" customFormat="false" ht="18.75" hidden="false" customHeight="true" outlineLevel="0" collapsed="false">
      <c r="A38" s="4" t="s">
        <v>2336</v>
      </c>
      <c r="B38" s="4" t="s">
        <v>2178</v>
      </c>
      <c r="C38" s="4" t="s">
        <v>155</v>
      </c>
      <c r="D38" s="4" t="s">
        <v>2074</v>
      </c>
      <c r="E38" s="4" t="s">
        <v>82</v>
      </c>
      <c r="F38" s="4" t="s">
        <v>83</v>
      </c>
      <c r="G38" s="10" t="n">
        <v>10301.68</v>
      </c>
      <c r="H38" s="10" t="n">
        <v>10301.68</v>
      </c>
      <c r="I38" s="10" t="n">
        <f aca="false">ROUND(H38-G38, 2)</f>
        <v>0</v>
      </c>
      <c r="J38" s="10" t="n">
        <f aca="false">IF(L38="RESOLVED", 0, ABS(I38))</f>
        <v>0</v>
      </c>
      <c r="K38" s="6" t="n">
        <v>4</v>
      </c>
      <c r="L38" s="5" t="s">
        <v>2300</v>
      </c>
    </row>
    <row r="39" customFormat="false" ht="18.75" hidden="false" customHeight="true" outlineLevel="0" collapsed="false">
      <c r="A39" s="7" t="s">
        <v>2337</v>
      </c>
      <c r="B39" s="7" t="s">
        <v>2179</v>
      </c>
      <c r="C39" s="7" t="s">
        <v>160</v>
      </c>
      <c r="D39" s="7" t="s">
        <v>2063</v>
      </c>
      <c r="E39" s="7" t="s">
        <v>82</v>
      </c>
      <c r="F39" s="7" t="s">
        <v>83</v>
      </c>
      <c r="G39" s="12" t="n">
        <v>10425.46</v>
      </c>
      <c r="H39" s="12" t="n">
        <v>10425.46</v>
      </c>
      <c r="I39" s="12" t="n">
        <f aca="false">ROUND(H39-G39, 2)</f>
        <v>0</v>
      </c>
      <c r="J39" s="12" t="n">
        <f aca="false">IF(L39="RESOLVED", 0, ABS(I39))</f>
        <v>0</v>
      </c>
      <c r="K39" s="8" t="n">
        <v>4</v>
      </c>
      <c r="L39" s="5" t="s">
        <v>2300</v>
      </c>
    </row>
    <row r="40" customFormat="false" ht="18.75" hidden="false" customHeight="true" outlineLevel="0" collapsed="false">
      <c r="A40" s="4" t="s">
        <v>2338</v>
      </c>
      <c r="B40" s="4" t="s">
        <v>2180</v>
      </c>
      <c r="C40" s="4" t="s">
        <v>165</v>
      </c>
      <c r="D40" s="4" t="s">
        <v>2067</v>
      </c>
      <c r="E40" s="4" t="s">
        <v>82</v>
      </c>
      <c r="F40" s="4" t="s">
        <v>83</v>
      </c>
      <c r="G40" s="10" t="n">
        <v>10647.74</v>
      </c>
      <c r="H40" s="10" t="n">
        <v>10647.74</v>
      </c>
      <c r="I40" s="10" t="n">
        <f aca="false">ROUND(H40-G40, 2)</f>
        <v>0</v>
      </c>
      <c r="J40" s="10" t="n">
        <f aca="false">IF(L40="RESOLVED", 0, ABS(I40))</f>
        <v>0</v>
      </c>
      <c r="K40" s="6" t="n">
        <v>4</v>
      </c>
      <c r="L40" s="5" t="s">
        <v>2300</v>
      </c>
    </row>
    <row r="41" customFormat="false" ht="18.75" hidden="false" customHeight="true" outlineLevel="0" collapsed="false">
      <c r="A41" s="7" t="s">
        <v>2339</v>
      </c>
      <c r="B41" s="7" t="s">
        <v>2181</v>
      </c>
      <c r="C41" s="7" t="s">
        <v>170</v>
      </c>
      <c r="D41" s="7" t="s">
        <v>2071</v>
      </c>
      <c r="E41" s="7" t="s">
        <v>82</v>
      </c>
      <c r="F41" s="7" t="s">
        <v>83</v>
      </c>
      <c r="G41" s="12" t="n">
        <v>10691.95</v>
      </c>
      <c r="H41" s="12" t="n">
        <v>10691.95</v>
      </c>
      <c r="I41" s="12" t="n">
        <f aca="false">ROUND(H41-G41, 2)</f>
        <v>0</v>
      </c>
      <c r="J41" s="12" t="n">
        <f aca="false">IF(L41="RESOLVED", 0, ABS(I41))</f>
        <v>0</v>
      </c>
      <c r="K41" s="8" t="n">
        <v>4</v>
      </c>
      <c r="L41" s="5" t="s">
        <v>2300</v>
      </c>
    </row>
    <row r="42" customFormat="false" ht="18.75" hidden="false" customHeight="true" outlineLevel="0" collapsed="false">
      <c r="A42" s="4" t="s">
        <v>2340</v>
      </c>
      <c r="B42" s="4" t="s">
        <v>2182</v>
      </c>
      <c r="C42" s="4" t="s">
        <v>175</v>
      </c>
      <c r="D42" s="4" t="s">
        <v>2074</v>
      </c>
      <c r="E42" s="4" t="s">
        <v>82</v>
      </c>
      <c r="F42" s="4" t="s">
        <v>83</v>
      </c>
      <c r="G42" s="10" t="n">
        <v>11000.59</v>
      </c>
      <c r="H42" s="10" t="n">
        <v>11000.59</v>
      </c>
      <c r="I42" s="10" t="n">
        <f aca="false">ROUND(H42-G42, 2)</f>
        <v>0</v>
      </c>
      <c r="J42" s="10" t="n">
        <f aca="false">IF(L42="RESOLVED", 0, ABS(I42))</f>
        <v>0</v>
      </c>
      <c r="K42" s="6" t="n">
        <v>14</v>
      </c>
      <c r="L42" s="24" t="s">
        <v>2341</v>
      </c>
    </row>
    <row r="43" customFormat="false" ht="18.75" hidden="false" customHeight="true" outlineLevel="0" collapsed="false">
      <c r="A43" s="7" t="s">
        <v>2342</v>
      </c>
      <c r="B43" s="7" t="s">
        <v>2183</v>
      </c>
      <c r="C43" s="7" t="s">
        <v>180</v>
      </c>
      <c r="D43" s="7" t="s">
        <v>2063</v>
      </c>
      <c r="E43" s="7" t="s">
        <v>82</v>
      </c>
      <c r="F43" s="7" t="s">
        <v>83</v>
      </c>
      <c r="G43" s="12" t="n">
        <v>11088.28</v>
      </c>
      <c r="H43" s="12" t="n">
        <v>11088.28</v>
      </c>
      <c r="I43" s="12" t="n">
        <f aca="false">ROUND(H43-G43, 2)</f>
        <v>0</v>
      </c>
      <c r="J43" s="12" t="n">
        <f aca="false">IF(L43="RESOLVED", 0, ABS(I43))</f>
        <v>0</v>
      </c>
      <c r="K43" s="8" t="n">
        <v>13</v>
      </c>
      <c r="L43" s="24" t="s">
        <v>2341</v>
      </c>
    </row>
    <row r="44" customFormat="false" ht="18.75" hidden="false" customHeight="true" outlineLevel="0" collapsed="false">
      <c r="A44" s="4" t="s">
        <v>2343</v>
      </c>
      <c r="B44" s="4" t="s">
        <v>2184</v>
      </c>
      <c r="C44" s="4" t="s">
        <v>185</v>
      </c>
      <c r="D44" s="4" t="s">
        <v>2067</v>
      </c>
      <c r="E44" s="4" t="s">
        <v>82</v>
      </c>
      <c r="F44" s="4" t="s">
        <v>83</v>
      </c>
      <c r="G44" s="10" t="n">
        <v>11222.75</v>
      </c>
      <c r="H44" s="10" t="n">
        <v>11222.75</v>
      </c>
      <c r="I44" s="10" t="n">
        <f aca="false">ROUND(H44-G44, 2)</f>
        <v>0</v>
      </c>
      <c r="J44" s="10" t="n">
        <f aca="false">IF(L44="RESOLVED", 0, ABS(I44))</f>
        <v>0</v>
      </c>
      <c r="K44" s="6" t="n">
        <v>12</v>
      </c>
      <c r="L44" s="24" t="s">
        <v>2341</v>
      </c>
    </row>
    <row r="45" customFormat="false" ht="18.75" hidden="false" customHeight="true" outlineLevel="0" collapsed="false">
      <c r="A45" s="7" t="s">
        <v>2344</v>
      </c>
      <c r="B45" s="7" t="s">
        <v>2185</v>
      </c>
      <c r="C45" s="7" t="s">
        <v>190</v>
      </c>
      <c r="D45" s="7" t="s">
        <v>2071</v>
      </c>
      <c r="E45" s="7" t="s">
        <v>82</v>
      </c>
      <c r="F45" s="7" t="s">
        <v>83</v>
      </c>
      <c r="G45" s="12" t="n">
        <v>11475.44</v>
      </c>
      <c r="H45" s="12" t="n">
        <v>11475.44</v>
      </c>
      <c r="I45" s="12" t="n">
        <f aca="false">ROUND(H45-G45, 2)</f>
        <v>0</v>
      </c>
      <c r="J45" s="12" t="n">
        <f aca="false">IF(L45="RESOLVED", 0, ABS(I45))</f>
        <v>0</v>
      </c>
      <c r="K45" s="8" t="n">
        <v>11</v>
      </c>
      <c r="L45" s="24" t="s">
        <v>2341</v>
      </c>
    </row>
    <row r="46" customFormat="false" ht="18.75" hidden="false" customHeight="true" outlineLevel="0" collapsed="false">
      <c r="A46" s="4" t="s">
        <v>2345</v>
      </c>
      <c r="B46" s="4" t="s">
        <v>2186</v>
      </c>
      <c r="C46" s="4" t="s">
        <v>195</v>
      </c>
      <c r="D46" s="4" t="s">
        <v>2074</v>
      </c>
      <c r="E46" s="4" t="s">
        <v>82</v>
      </c>
      <c r="F46" s="4" t="s">
        <v>83</v>
      </c>
      <c r="G46" s="10" t="n">
        <v>11651.88</v>
      </c>
      <c r="H46" s="10" t="n">
        <v>11651.88</v>
      </c>
      <c r="I46" s="10" t="n">
        <f aca="false">ROUND(H46-G46, 2)</f>
        <v>0</v>
      </c>
      <c r="J46" s="10" t="n">
        <f aca="false">IF(L46="RESOLVED", 0, ABS(I46))</f>
        <v>0</v>
      </c>
      <c r="K46" s="6" t="n">
        <v>10</v>
      </c>
      <c r="L46" s="24" t="s">
        <v>2341</v>
      </c>
    </row>
    <row r="47" customFormat="false" ht="18.75" hidden="false" customHeight="true" outlineLevel="0" collapsed="false">
      <c r="A47" s="7" t="s">
        <v>2346</v>
      </c>
      <c r="B47" s="7" t="s">
        <v>2187</v>
      </c>
      <c r="C47" s="7" t="s">
        <v>200</v>
      </c>
      <c r="D47" s="7" t="s">
        <v>2063</v>
      </c>
      <c r="E47" s="7" t="s">
        <v>82</v>
      </c>
      <c r="F47" s="7" t="s">
        <v>83</v>
      </c>
      <c r="G47" s="12" t="n">
        <v>11792.75</v>
      </c>
      <c r="H47" s="12" t="n">
        <v>11792.75</v>
      </c>
      <c r="I47" s="12" t="n">
        <f aca="false">ROUND(H47-G47, 2)</f>
        <v>0</v>
      </c>
      <c r="J47" s="12" t="n">
        <f aca="false">IF(L47="RESOLVED", 0, ABS(I47))</f>
        <v>0</v>
      </c>
      <c r="K47" s="8" t="n">
        <v>9</v>
      </c>
      <c r="L47" s="24" t="s">
        <v>2341</v>
      </c>
    </row>
    <row r="48" customFormat="false" ht="18.75" hidden="false" customHeight="true" outlineLevel="0" collapsed="false">
      <c r="A48" s="4" t="s">
        <v>2347</v>
      </c>
      <c r="B48" s="4" t="s">
        <v>2188</v>
      </c>
      <c r="C48" s="4" t="s">
        <v>205</v>
      </c>
      <c r="D48" s="4" t="s">
        <v>2067</v>
      </c>
      <c r="E48" s="4" t="s">
        <v>82</v>
      </c>
      <c r="F48" s="4" t="s">
        <v>83</v>
      </c>
      <c r="G48" s="10" t="n">
        <v>11918.36</v>
      </c>
      <c r="H48" s="10" t="n">
        <v>11918.36</v>
      </c>
      <c r="I48" s="10" t="n">
        <f aca="false">ROUND(H48-G48, 2)</f>
        <v>0</v>
      </c>
      <c r="J48" s="10" t="n">
        <f aca="false">IF(L48="RESOLVED", 0, ABS(I48))</f>
        <v>0</v>
      </c>
      <c r="K48" s="6" t="n">
        <v>8</v>
      </c>
      <c r="L48" s="24" t="s">
        <v>2341</v>
      </c>
    </row>
    <row r="49" customFormat="false" ht="18.75" hidden="false" customHeight="true" outlineLevel="0" collapsed="false">
      <c r="A49" s="7" t="s">
        <v>2348</v>
      </c>
      <c r="B49" s="7" t="s">
        <v>2189</v>
      </c>
      <c r="C49" s="7" t="s">
        <v>210</v>
      </c>
      <c r="D49" s="7" t="s">
        <v>2071</v>
      </c>
      <c r="E49" s="7" t="s">
        <v>82</v>
      </c>
      <c r="F49" s="7" t="s">
        <v>83</v>
      </c>
      <c r="G49" s="12" t="n">
        <v>12168.94</v>
      </c>
      <c r="H49" s="12" t="n">
        <v>12168.94</v>
      </c>
      <c r="I49" s="12" t="n">
        <f aca="false">ROUND(H49-G49, 2)</f>
        <v>0</v>
      </c>
      <c r="J49" s="12" t="n">
        <f aca="false">IF(L49="RESOLVED", 0, ABS(I49))</f>
        <v>0</v>
      </c>
      <c r="K49" s="8" t="n">
        <v>7</v>
      </c>
      <c r="L49" s="24" t="s">
        <v>2341</v>
      </c>
    </row>
    <row r="50" customFormat="false" ht="18.75" hidden="false" customHeight="true" outlineLevel="0" collapsed="false">
      <c r="A50" s="4" t="s">
        <v>2349</v>
      </c>
      <c r="B50" s="4" t="s">
        <v>2190</v>
      </c>
      <c r="C50" s="4" t="s">
        <v>215</v>
      </c>
      <c r="D50" s="4" t="s">
        <v>2074</v>
      </c>
      <c r="E50" s="4" t="s">
        <v>82</v>
      </c>
      <c r="F50" s="4" t="s">
        <v>83</v>
      </c>
      <c r="G50" s="10" t="n">
        <v>12239.74</v>
      </c>
      <c r="H50" s="10" t="n">
        <v>12239.74</v>
      </c>
      <c r="I50" s="10" t="n">
        <f aca="false">ROUND(H50-G50, 2)</f>
        <v>0</v>
      </c>
      <c r="J50" s="10" t="n">
        <f aca="false">IF(L50="RESOLVED", 0, ABS(I50))</f>
        <v>0</v>
      </c>
      <c r="K50" s="6" t="n">
        <v>6</v>
      </c>
      <c r="L50" s="24" t="s">
        <v>2341</v>
      </c>
    </row>
    <row r="51" customFormat="false" ht="18.75" hidden="false" customHeight="true" outlineLevel="0" collapsed="false">
      <c r="A51" s="7" t="s">
        <v>2350</v>
      </c>
      <c r="B51" s="7" t="s">
        <v>2191</v>
      </c>
      <c r="C51" s="7" t="s">
        <v>220</v>
      </c>
      <c r="D51" s="7" t="s">
        <v>2063</v>
      </c>
      <c r="E51" s="7" t="s">
        <v>82</v>
      </c>
      <c r="F51" s="7" t="s">
        <v>83</v>
      </c>
      <c r="G51" s="12" t="n">
        <v>12523.04</v>
      </c>
      <c r="H51" s="12" t="n">
        <v>12523.04</v>
      </c>
      <c r="I51" s="12" t="n">
        <f aca="false">ROUND(H51-G51, 2)</f>
        <v>0</v>
      </c>
      <c r="J51" s="12" t="n">
        <f aca="false">IF(L51="RESOLVED", 0, ABS(I51))</f>
        <v>0</v>
      </c>
      <c r="K51" s="8" t="n">
        <v>5</v>
      </c>
      <c r="L51" s="24" t="s">
        <v>2341</v>
      </c>
    </row>
    <row r="52" customFormat="false" ht="18.75" hidden="false" customHeight="true" outlineLevel="0" collapsed="false">
      <c r="A52" s="4" t="s">
        <v>2351</v>
      </c>
      <c r="B52" s="4" t="s">
        <v>2192</v>
      </c>
      <c r="C52" s="4" t="s">
        <v>99</v>
      </c>
      <c r="D52" s="4" t="s">
        <v>2063</v>
      </c>
      <c r="E52" s="4" t="s">
        <v>82</v>
      </c>
      <c r="F52" s="4" t="s">
        <v>83</v>
      </c>
      <c r="G52" s="10" t="n">
        <v>12646.93</v>
      </c>
      <c r="H52" s="10" t="n">
        <v>12646.93</v>
      </c>
      <c r="I52" s="10" t="n">
        <f aca="false">ROUND(H52-G52, 2)</f>
        <v>0</v>
      </c>
      <c r="J52" s="10" t="n">
        <f aca="false">IF(L52="RESOLVED", 0, ABS(I52))</f>
        <v>0</v>
      </c>
      <c r="K52" s="6" t="n">
        <v>54</v>
      </c>
      <c r="L52" s="24" t="s">
        <v>2352</v>
      </c>
    </row>
    <row r="53" customFormat="false" ht="18.75" hidden="false" customHeight="true" outlineLevel="0" collapsed="false">
      <c r="A53" s="7" t="s">
        <v>2353</v>
      </c>
      <c r="B53" s="7" t="s">
        <v>2193</v>
      </c>
      <c r="C53" s="7" t="s">
        <v>105</v>
      </c>
      <c r="D53" s="7" t="s">
        <v>2067</v>
      </c>
      <c r="E53" s="7" t="s">
        <v>82</v>
      </c>
      <c r="F53" s="7" t="s">
        <v>83</v>
      </c>
      <c r="G53" s="12" t="n">
        <v>12877.96</v>
      </c>
      <c r="H53" s="12" t="n">
        <v>12877.96</v>
      </c>
      <c r="I53" s="12" t="n">
        <f aca="false">ROUND(H53-G53, 2)</f>
        <v>0</v>
      </c>
      <c r="J53" s="12" t="n">
        <f aca="false">IF(L53="RESOLVED", 0, ABS(I53))</f>
        <v>0</v>
      </c>
      <c r="K53" s="8" t="n">
        <v>53</v>
      </c>
      <c r="L53" s="24" t="s">
        <v>2352</v>
      </c>
    </row>
    <row r="54" customFormat="false" ht="18.75" hidden="false" customHeight="true" outlineLevel="0" collapsed="false">
      <c r="A54" s="4" t="s">
        <v>2354</v>
      </c>
      <c r="B54" s="4" t="s">
        <v>2194</v>
      </c>
      <c r="C54" s="4" t="s">
        <v>110</v>
      </c>
      <c r="D54" s="4" t="s">
        <v>2071</v>
      </c>
      <c r="E54" s="4" t="s">
        <v>82</v>
      </c>
      <c r="F54" s="4" t="s">
        <v>83</v>
      </c>
      <c r="G54" s="10" t="n">
        <v>12921.35</v>
      </c>
      <c r="H54" s="10" t="n">
        <v>12921.35</v>
      </c>
      <c r="I54" s="10" t="n">
        <f aca="false">ROUND(H54-G54, 2)</f>
        <v>0</v>
      </c>
      <c r="J54" s="10" t="n">
        <f aca="false">IF(L54="RESOLVED", 0, ABS(I54))</f>
        <v>0</v>
      </c>
      <c r="K54" s="6" t="n">
        <v>52</v>
      </c>
      <c r="L54" s="24" t="s">
        <v>2352</v>
      </c>
    </row>
    <row r="55" customFormat="false" ht="18.75" hidden="false" customHeight="true" outlineLevel="0" collapsed="false">
      <c r="A55" s="7" t="s">
        <v>2355</v>
      </c>
      <c r="B55" s="7" t="s">
        <v>2195</v>
      </c>
      <c r="C55" s="7" t="s">
        <v>115</v>
      </c>
      <c r="D55" s="7" t="s">
        <v>2074</v>
      </c>
      <c r="E55" s="7" t="s">
        <v>82</v>
      </c>
      <c r="F55" s="7" t="s">
        <v>83</v>
      </c>
      <c r="G55" s="12" t="n">
        <v>13162.7</v>
      </c>
      <c r="H55" s="12" t="n">
        <v>13162.7</v>
      </c>
      <c r="I55" s="12" t="n">
        <f aca="false">ROUND(H55-G55, 2)</f>
        <v>0</v>
      </c>
      <c r="J55" s="12" t="n">
        <f aca="false">IF(L55="RESOLVED", 0, ABS(I55))</f>
        <v>0</v>
      </c>
      <c r="K55" s="8" t="n">
        <v>51</v>
      </c>
      <c r="L55" s="24" t="s">
        <v>2352</v>
      </c>
    </row>
    <row r="56" customFormat="false" ht="18.75" hidden="false" customHeight="true" outlineLevel="0" collapsed="false">
      <c r="A56" s="4" t="s">
        <v>2356</v>
      </c>
      <c r="B56" s="4" t="s">
        <v>2196</v>
      </c>
      <c r="C56" s="4" t="s">
        <v>120</v>
      </c>
      <c r="D56" s="4" t="s">
        <v>2063</v>
      </c>
      <c r="E56" s="4" t="s">
        <v>82</v>
      </c>
      <c r="F56" s="4" t="s">
        <v>83</v>
      </c>
      <c r="G56" s="10" t="n">
        <v>13291.66</v>
      </c>
      <c r="H56" s="10" t="n">
        <v>13291.66</v>
      </c>
      <c r="I56" s="10" t="n">
        <f aca="false">ROUND(H56-G56, 2)</f>
        <v>0</v>
      </c>
      <c r="J56" s="10" t="n">
        <f aca="false">IF(L56="RESOLVED", 0, ABS(I56))</f>
        <v>0</v>
      </c>
      <c r="K56" s="6" t="n">
        <v>50</v>
      </c>
      <c r="L56" s="24" t="s">
        <v>2352</v>
      </c>
    </row>
    <row r="57" customFormat="false" ht="18.75" hidden="false" customHeight="true" outlineLevel="0" collapsed="false">
      <c r="A57" s="7" t="s">
        <v>2357</v>
      </c>
      <c r="B57" s="7" t="s">
        <v>2197</v>
      </c>
      <c r="C57" s="7" t="s">
        <v>125</v>
      </c>
      <c r="D57" s="7" t="s">
        <v>2067</v>
      </c>
      <c r="E57" s="7" t="s">
        <v>82</v>
      </c>
      <c r="F57" s="7" t="s">
        <v>83</v>
      </c>
      <c r="G57" s="12" t="n">
        <v>13476.74</v>
      </c>
      <c r="H57" s="12" t="n">
        <v>13476.74</v>
      </c>
      <c r="I57" s="12" t="n">
        <f aca="false">ROUND(H57-G57, 2)</f>
        <v>0</v>
      </c>
      <c r="J57" s="12" t="n">
        <f aca="false">IF(L57="RESOLVED", 0, ABS(I57))</f>
        <v>0</v>
      </c>
      <c r="K57" s="8" t="n">
        <v>49</v>
      </c>
      <c r="L57" s="24" t="s">
        <v>2352</v>
      </c>
    </row>
    <row r="58" customFormat="false" ht="18.75" hidden="false" customHeight="true" outlineLevel="0" collapsed="false">
      <c r="A58" s="4" t="s">
        <v>2358</v>
      </c>
      <c r="B58" s="4" t="s">
        <v>2198</v>
      </c>
      <c r="C58" s="4" t="s">
        <v>130</v>
      </c>
      <c r="D58" s="4" t="s">
        <v>2071</v>
      </c>
      <c r="E58" s="4" t="s">
        <v>82</v>
      </c>
      <c r="F58" s="4" t="s">
        <v>83</v>
      </c>
      <c r="G58" s="10" t="n">
        <v>13712.64</v>
      </c>
      <c r="H58" s="10" t="n">
        <v>13712.64</v>
      </c>
      <c r="I58" s="10" t="n">
        <f aca="false">ROUND(H58-G58, 2)</f>
        <v>0</v>
      </c>
      <c r="J58" s="10" t="n">
        <f aca="false">IF(L58="RESOLVED", 0, ABS(I58))</f>
        <v>0</v>
      </c>
      <c r="K58" s="6" t="n">
        <v>48</v>
      </c>
      <c r="L58" s="24" t="s">
        <v>2352</v>
      </c>
    </row>
    <row r="59" customFormat="false" ht="18.75" hidden="false" customHeight="true" outlineLevel="0" collapsed="false">
      <c r="A59" s="7" t="s">
        <v>2359</v>
      </c>
      <c r="B59" s="7" t="s">
        <v>2199</v>
      </c>
      <c r="C59" s="7" t="s">
        <v>135</v>
      </c>
      <c r="D59" s="7" t="s">
        <v>2074</v>
      </c>
      <c r="E59" s="7" t="s">
        <v>82</v>
      </c>
      <c r="F59" s="7" t="s">
        <v>83</v>
      </c>
      <c r="G59" s="12" t="n">
        <v>13730.39</v>
      </c>
      <c r="H59" s="12" t="n">
        <v>13730.39</v>
      </c>
      <c r="I59" s="12" t="n">
        <f aca="false">ROUND(H59-G59, 2)</f>
        <v>0</v>
      </c>
      <c r="J59" s="12" t="n">
        <f aca="false">IF(L59="RESOLVED", 0, ABS(I59))</f>
        <v>0</v>
      </c>
      <c r="K59" s="8" t="n">
        <v>47</v>
      </c>
      <c r="L59" s="24" t="s">
        <v>2352</v>
      </c>
    </row>
    <row r="60" customFormat="false" ht="18.75" hidden="false" customHeight="true" outlineLevel="0" collapsed="false">
      <c r="A60" s="4" t="s">
        <v>2360</v>
      </c>
      <c r="B60" s="4" t="s">
        <v>2200</v>
      </c>
      <c r="C60" s="4" t="s">
        <v>140</v>
      </c>
      <c r="D60" s="4" t="s">
        <v>2063</v>
      </c>
      <c r="E60" s="4" t="s">
        <v>82</v>
      </c>
      <c r="F60" s="4" t="s">
        <v>83</v>
      </c>
      <c r="G60" s="10" t="n">
        <v>14078.01</v>
      </c>
      <c r="H60" s="10" t="n">
        <v>14078.01</v>
      </c>
      <c r="I60" s="10" t="n">
        <f aca="false">ROUND(H60-G60, 2)</f>
        <v>0</v>
      </c>
      <c r="J60" s="10" t="n">
        <f aca="false">IF(L60="RESOLVED", 0, ABS(I60))</f>
        <v>0</v>
      </c>
      <c r="K60" s="6" t="n">
        <v>46</v>
      </c>
      <c r="L60" s="24" t="s">
        <v>2352</v>
      </c>
    </row>
    <row r="61" customFormat="false" ht="18.75" hidden="false" customHeight="true" outlineLevel="0" collapsed="false">
      <c r="A61" s="7" t="s">
        <v>2361</v>
      </c>
      <c r="B61" s="7" t="s">
        <v>2201</v>
      </c>
      <c r="C61" s="7" t="s">
        <v>145</v>
      </c>
      <c r="D61" s="7" t="s">
        <v>2067</v>
      </c>
      <c r="E61" s="7" t="s">
        <v>82</v>
      </c>
      <c r="F61" s="7" t="s">
        <v>83</v>
      </c>
      <c r="G61" s="12" t="n">
        <v>14119.21</v>
      </c>
      <c r="H61" s="12" t="n">
        <v>14119.21</v>
      </c>
      <c r="I61" s="12" t="n">
        <f aca="false">ROUND(H61-G61, 2)</f>
        <v>0</v>
      </c>
      <c r="J61" s="12" t="n">
        <f aca="false">IF(L61="RESOLVED", 0, ABS(I61))</f>
        <v>0</v>
      </c>
      <c r="K61" s="8" t="n">
        <v>45</v>
      </c>
      <c r="L61" s="24" t="s">
        <v>2352</v>
      </c>
    </row>
    <row r="62" customFormat="false" ht="18.75" hidden="false" customHeight="true" outlineLevel="0" collapsed="false">
      <c r="A62" s="4" t="s">
        <v>2362</v>
      </c>
      <c r="B62" s="4" t="s">
        <v>2202</v>
      </c>
      <c r="C62" s="4" t="s">
        <v>150</v>
      </c>
      <c r="D62" s="4" t="s">
        <v>2071</v>
      </c>
      <c r="E62" s="4" t="s">
        <v>82</v>
      </c>
      <c r="F62" s="4" t="s">
        <v>83</v>
      </c>
      <c r="G62" s="10" t="n">
        <v>14331.44</v>
      </c>
      <c r="H62" s="10" t="n">
        <v>14331.44</v>
      </c>
      <c r="I62" s="10" t="n">
        <f aca="false">ROUND(H62-G62, 2)</f>
        <v>0</v>
      </c>
      <c r="J62" s="10" t="n">
        <f aca="false">IF(L62="RESOLVED", 0, ABS(I62))</f>
        <v>0</v>
      </c>
      <c r="K62" s="6" t="n">
        <v>44</v>
      </c>
      <c r="L62" s="24" t="s">
        <v>2352</v>
      </c>
    </row>
    <row r="63" customFormat="false" ht="18.75" hidden="false" customHeight="true" outlineLevel="0" collapsed="false">
      <c r="A63" s="7" t="s">
        <v>2363</v>
      </c>
      <c r="B63" s="7" t="s">
        <v>2203</v>
      </c>
      <c r="C63" s="7" t="s">
        <v>155</v>
      </c>
      <c r="D63" s="7" t="s">
        <v>2074</v>
      </c>
      <c r="E63" s="7" t="s">
        <v>82</v>
      </c>
      <c r="F63" s="7" t="s">
        <v>83</v>
      </c>
      <c r="G63" s="12" t="n">
        <v>14545.28</v>
      </c>
      <c r="H63" s="12" t="n">
        <v>14545.28</v>
      </c>
      <c r="I63" s="12" t="n">
        <f aca="false">ROUND(H63-G63, 2)</f>
        <v>0</v>
      </c>
      <c r="J63" s="12" t="n">
        <f aca="false">IF(L63="RESOLVED", 0, ABS(I63))</f>
        <v>0</v>
      </c>
      <c r="K63" s="8" t="n">
        <v>43</v>
      </c>
      <c r="L63" s="24" t="s">
        <v>2352</v>
      </c>
    </row>
    <row r="64" customFormat="false" ht="18.75" hidden="false" customHeight="true" outlineLevel="0" collapsed="false">
      <c r="A64" s="4" t="s">
        <v>2364</v>
      </c>
      <c r="B64" s="4" t="s">
        <v>2204</v>
      </c>
      <c r="C64" s="4" t="s">
        <v>160</v>
      </c>
      <c r="D64" s="4" t="s">
        <v>2063</v>
      </c>
      <c r="E64" s="4" t="s">
        <v>82</v>
      </c>
      <c r="F64" s="4" t="s">
        <v>83</v>
      </c>
      <c r="G64" s="10" t="n">
        <v>14651.18</v>
      </c>
      <c r="H64" s="10" t="n">
        <v>14651.18</v>
      </c>
      <c r="I64" s="10" t="n">
        <f aca="false">ROUND(H64-G64, 2)</f>
        <v>0</v>
      </c>
      <c r="J64" s="10" t="n">
        <f aca="false">IF(L64="RESOLVED", 0, ABS(I64))</f>
        <v>0</v>
      </c>
      <c r="K64" s="6" t="n">
        <v>42</v>
      </c>
      <c r="L64" s="24" t="s">
        <v>2352</v>
      </c>
    </row>
    <row r="65" customFormat="false" ht="18.75" hidden="false" customHeight="true" outlineLevel="0" collapsed="false">
      <c r="A65" s="7" t="s">
        <v>2365</v>
      </c>
      <c r="B65" s="7" t="s">
        <v>2205</v>
      </c>
      <c r="C65" s="7" t="s">
        <v>165</v>
      </c>
      <c r="D65" s="7" t="s">
        <v>2067</v>
      </c>
      <c r="E65" s="7" t="s">
        <v>82</v>
      </c>
      <c r="F65" s="7" t="s">
        <v>83</v>
      </c>
      <c r="G65" s="12" t="n">
        <v>14893.88</v>
      </c>
      <c r="H65" s="12" t="n">
        <v>14893.88</v>
      </c>
      <c r="I65" s="12" t="n">
        <f aca="false">ROUND(H65-G65, 2)</f>
        <v>0</v>
      </c>
      <c r="J65" s="12" t="n">
        <f aca="false">IF(L65="RESOLVED", 0, ABS(I65))</f>
        <v>0</v>
      </c>
      <c r="K65" s="8" t="n">
        <v>41</v>
      </c>
      <c r="L65" s="24" t="s">
        <v>2352</v>
      </c>
    </row>
    <row r="66" customFormat="false" ht="18.75" hidden="false" customHeight="true" outlineLevel="0" collapsed="false">
      <c r="A66" s="4" t="s">
        <v>2366</v>
      </c>
      <c r="B66" s="4" t="s">
        <v>2206</v>
      </c>
      <c r="C66" s="4" t="s">
        <v>170</v>
      </c>
      <c r="D66" s="4" t="s">
        <v>2071</v>
      </c>
      <c r="E66" s="4" t="s">
        <v>82</v>
      </c>
      <c r="F66" s="4" t="s">
        <v>83</v>
      </c>
      <c r="G66" s="10" t="n">
        <v>14889.6</v>
      </c>
      <c r="H66" s="10" t="n">
        <v>14889.6</v>
      </c>
      <c r="I66" s="10" t="n">
        <f aca="false">ROUND(H66-G66, 2)</f>
        <v>0</v>
      </c>
      <c r="J66" s="10" t="n">
        <f aca="false">IF(L66="RESOLVED", 0, ABS(I66))</f>
        <v>0</v>
      </c>
      <c r="K66" s="6" t="n">
        <v>40</v>
      </c>
      <c r="L66" s="24" t="s">
        <v>2352</v>
      </c>
    </row>
    <row r="67" customFormat="false" ht="18.75" hidden="false" customHeight="true" outlineLevel="0" collapsed="false">
      <c r="A67" s="7" t="s">
        <v>2367</v>
      </c>
      <c r="B67" s="7" t="s">
        <v>2207</v>
      </c>
      <c r="C67" s="7" t="s">
        <v>175</v>
      </c>
      <c r="D67" s="7" t="s">
        <v>2074</v>
      </c>
      <c r="E67" s="7" t="s">
        <v>82</v>
      </c>
      <c r="F67" s="7" t="s">
        <v>83</v>
      </c>
      <c r="G67" s="12" t="n">
        <v>15250.86</v>
      </c>
      <c r="H67" s="12" t="n">
        <v>15250.86</v>
      </c>
      <c r="I67" s="12" t="n">
        <f aca="false">ROUND(H67-G67, 2)</f>
        <v>0</v>
      </c>
      <c r="J67" s="12" t="n">
        <f aca="false">IF(L67="RESOLVED", 0, ABS(I67))</f>
        <v>0</v>
      </c>
      <c r="K67" s="8" t="n">
        <v>39</v>
      </c>
      <c r="L67" s="24" t="s">
        <v>2352</v>
      </c>
    </row>
    <row r="68" customFormat="false" ht="18.75" hidden="false" customHeight="true" outlineLevel="0" collapsed="false">
      <c r="A68" s="4" t="s">
        <v>2368</v>
      </c>
      <c r="B68" s="4" t="s">
        <v>2208</v>
      </c>
      <c r="C68" s="4" t="s">
        <v>180</v>
      </c>
      <c r="D68" s="4" t="s">
        <v>2063</v>
      </c>
      <c r="E68" s="4" t="s">
        <v>82</v>
      </c>
      <c r="F68" s="4" t="s">
        <v>83</v>
      </c>
      <c r="G68" s="10" t="n">
        <v>15308.91</v>
      </c>
      <c r="H68" s="10" t="n">
        <v>15308.91</v>
      </c>
      <c r="I68" s="10" t="n">
        <f aca="false">ROUND(H68-G68, 2)</f>
        <v>0</v>
      </c>
      <c r="J68" s="10" t="n">
        <f aca="false">IF(L68="RESOLVED", 0, ABS(I68))</f>
        <v>0</v>
      </c>
      <c r="K68" s="6" t="n">
        <v>38</v>
      </c>
      <c r="L68" s="24" t="s">
        <v>2352</v>
      </c>
    </row>
    <row r="69" customFormat="false" ht="18.75" hidden="false" customHeight="true" outlineLevel="0" collapsed="false">
      <c r="A69" s="7" t="s">
        <v>2369</v>
      </c>
      <c r="B69" s="7" t="s">
        <v>2209</v>
      </c>
      <c r="C69" s="7" t="s">
        <v>185</v>
      </c>
      <c r="D69" s="7" t="s">
        <v>2067</v>
      </c>
      <c r="E69" s="7" t="s">
        <v>82</v>
      </c>
      <c r="F69" s="7" t="s">
        <v>83</v>
      </c>
      <c r="G69" s="12" t="n">
        <v>15430.61</v>
      </c>
      <c r="H69" s="12" t="n">
        <v>15430.61</v>
      </c>
      <c r="I69" s="12" t="n">
        <f aca="false">ROUND(H69-G69, 2)</f>
        <v>0</v>
      </c>
      <c r="J69" s="12" t="n">
        <f aca="false">IF(L69="RESOLVED", 0, ABS(I69))</f>
        <v>0</v>
      </c>
      <c r="K69" s="8" t="n">
        <v>37</v>
      </c>
      <c r="L69" s="24" t="s">
        <v>2352</v>
      </c>
    </row>
    <row r="70" customFormat="false" ht="18.75" hidden="false" customHeight="true" outlineLevel="0" collapsed="false">
      <c r="A70" s="4" t="s">
        <v>2370</v>
      </c>
      <c r="B70" s="4" t="s">
        <v>2210</v>
      </c>
      <c r="C70" s="4" t="s">
        <v>190</v>
      </c>
      <c r="D70" s="4" t="s">
        <v>2071</v>
      </c>
      <c r="E70" s="4" t="s">
        <v>82</v>
      </c>
      <c r="F70" s="4" t="s">
        <v>83</v>
      </c>
      <c r="G70" s="10" t="n">
        <v>15712.95</v>
      </c>
      <c r="H70" s="10" t="n">
        <v>15712.95</v>
      </c>
      <c r="I70" s="10" t="n">
        <f aca="false">ROUND(H70-G70, 2)</f>
        <v>0</v>
      </c>
      <c r="J70" s="10" t="n">
        <f aca="false">IF(L70="RESOLVED", 0, ABS(I70))</f>
        <v>0</v>
      </c>
      <c r="K70" s="6" t="n">
        <v>36</v>
      </c>
      <c r="L70" s="24" t="s">
        <v>2352</v>
      </c>
    </row>
    <row r="71" customFormat="false" ht="18.75" hidden="false" customHeight="true" outlineLevel="0" collapsed="false">
      <c r="A71" s="7" t="s">
        <v>2371</v>
      </c>
      <c r="B71" s="7" t="s">
        <v>2211</v>
      </c>
      <c r="C71" s="7" t="s">
        <v>195</v>
      </c>
      <c r="D71" s="7" t="s">
        <v>2074</v>
      </c>
      <c r="E71" s="7" t="s">
        <v>82</v>
      </c>
      <c r="F71" s="7" t="s">
        <v>83</v>
      </c>
      <c r="G71" s="12" t="n">
        <v>15892.92</v>
      </c>
      <c r="H71" s="12" t="n">
        <v>15892.92</v>
      </c>
      <c r="I71" s="12" t="n">
        <f aca="false">ROUND(H71-G71, 2)</f>
        <v>0</v>
      </c>
      <c r="J71" s="12" t="n">
        <f aca="false">IF(L71="RESOLVED", 0, ABS(I71))</f>
        <v>0</v>
      </c>
      <c r="K71" s="8" t="n">
        <v>35</v>
      </c>
      <c r="L71" s="24" t="s">
        <v>2352</v>
      </c>
    </row>
    <row r="72" customFormat="false" ht="18.75" hidden="false" customHeight="true" outlineLevel="0" collapsed="false">
      <c r="A72" s="4" t="s">
        <v>2372</v>
      </c>
      <c r="B72" s="4" t="s">
        <v>2212</v>
      </c>
      <c r="C72" s="4" t="s">
        <v>200</v>
      </c>
      <c r="D72" s="4" t="s">
        <v>2063</v>
      </c>
      <c r="E72" s="4" t="s">
        <v>82</v>
      </c>
      <c r="F72" s="4" t="s">
        <v>83</v>
      </c>
      <c r="G72" s="10" t="n">
        <v>16023.57</v>
      </c>
      <c r="H72" s="10" t="n">
        <v>16023.57</v>
      </c>
      <c r="I72" s="10" t="n">
        <f aca="false">ROUND(H72-G72, 2)</f>
        <v>0</v>
      </c>
      <c r="J72" s="10" t="n">
        <f aca="false">IF(L72="RESOLVED", 0, ABS(I72))</f>
        <v>0</v>
      </c>
      <c r="K72" s="6" t="n">
        <v>34</v>
      </c>
      <c r="L72" s="24" t="s">
        <v>2352</v>
      </c>
    </row>
    <row r="73" customFormat="false" ht="18.75" hidden="false" customHeight="true" outlineLevel="0" collapsed="false">
      <c r="A73" s="7" t="s">
        <v>2373</v>
      </c>
      <c r="B73" s="7" t="s">
        <v>2213</v>
      </c>
      <c r="C73" s="7" t="s">
        <v>205</v>
      </c>
      <c r="D73" s="7" t="s">
        <v>2067</v>
      </c>
      <c r="E73" s="7" t="s">
        <v>82</v>
      </c>
      <c r="F73" s="7" t="s">
        <v>83</v>
      </c>
      <c r="G73" s="12" t="n">
        <v>16133.89</v>
      </c>
      <c r="H73" s="12" t="n">
        <v>16133.89</v>
      </c>
      <c r="I73" s="12" t="n">
        <f aca="false">ROUND(H73-G73, 2)</f>
        <v>0</v>
      </c>
      <c r="J73" s="12" t="n">
        <f aca="false">IF(L73="RESOLVED", 0, ABS(I73))</f>
        <v>0</v>
      </c>
      <c r="K73" s="8" t="n">
        <v>33</v>
      </c>
      <c r="L73" s="24" t="s">
        <v>2352</v>
      </c>
    </row>
    <row r="74" customFormat="false" ht="18.75" hidden="false" customHeight="true" outlineLevel="0" collapsed="false">
      <c r="A74" s="4" t="s">
        <v>2374</v>
      </c>
      <c r="B74" s="4" t="s">
        <v>2214</v>
      </c>
      <c r="C74" s="4" t="s">
        <v>210</v>
      </c>
      <c r="D74" s="4" t="s">
        <v>2071</v>
      </c>
      <c r="E74" s="4" t="s">
        <v>82</v>
      </c>
      <c r="F74" s="4" t="s">
        <v>83</v>
      </c>
      <c r="G74" s="10" t="n">
        <v>16411.55</v>
      </c>
      <c r="H74" s="10" t="n">
        <v>16411.55</v>
      </c>
      <c r="I74" s="10" t="n">
        <f aca="false">ROUND(H74-G74, 2)</f>
        <v>0</v>
      </c>
      <c r="J74" s="10" t="n">
        <f aca="false">IF(L74="RESOLVED", 0, ABS(I74))</f>
        <v>0</v>
      </c>
      <c r="K74" s="6" t="n">
        <v>32</v>
      </c>
      <c r="L74" s="24" t="s">
        <v>2352</v>
      </c>
    </row>
    <row r="75" customFormat="false" ht="18.75" hidden="false" customHeight="true" outlineLevel="0" collapsed="false">
      <c r="A75" s="7" t="s">
        <v>2375</v>
      </c>
      <c r="B75" s="7" t="s">
        <v>2215</v>
      </c>
      <c r="C75" s="7" t="s">
        <v>215</v>
      </c>
      <c r="D75" s="7" t="s">
        <v>2074</v>
      </c>
      <c r="E75" s="7" t="s">
        <v>82</v>
      </c>
      <c r="F75" s="7" t="s">
        <v>83</v>
      </c>
      <c r="G75" s="12" t="n">
        <v>16450.15</v>
      </c>
      <c r="H75" s="12" t="n">
        <v>16450.15</v>
      </c>
      <c r="I75" s="12" t="n">
        <f aca="false">ROUND(H75-G75, 2)</f>
        <v>0</v>
      </c>
      <c r="J75" s="12" t="n">
        <f aca="false">IF(L75="RESOLVED", 0, ABS(I75))</f>
        <v>0</v>
      </c>
      <c r="K75" s="8" t="n">
        <v>31</v>
      </c>
      <c r="L75" s="24" t="s">
        <v>2352</v>
      </c>
    </row>
    <row r="76" customFormat="false" ht="18.75" hidden="false" customHeight="true" outlineLevel="0" collapsed="false">
      <c r="A76" s="4" t="s">
        <v>2376</v>
      </c>
      <c r="B76" s="4" t="s">
        <v>2216</v>
      </c>
      <c r="C76" s="4" t="s">
        <v>220</v>
      </c>
      <c r="D76" s="4" t="s">
        <v>2063</v>
      </c>
      <c r="E76" s="4" t="s">
        <v>82</v>
      </c>
      <c r="F76" s="4" t="s">
        <v>83</v>
      </c>
      <c r="G76" s="10" t="n">
        <v>16771.73</v>
      </c>
      <c r="H76" s="10" t="n">
        <v>16771.73</v>
      </c>
      <c r="I76" s="10" t="n">
        <f aca="false">ROUND(H76-G76, 2)</f>
        <v>0</v>
      </c>
      <c r="J76" s="10" t="n">
        <f aca="false">IF(L76="RESOLVED", 0, ABS(I76))</f>
        <v>0</v>
      </c>
      <c r="K76" s="6" t="n">
        <v>30</v>
      </c>
      <c r="L76" s="24" t="s">
        <v>2352</v>
      </c>
    </row>
    <row r="77" customFormat="false" ht="18.75" hidden="false" customHeight="true" outlineLevel="0" collapsed="false">
      <c r="A77" s="7" t="s">
        <v>2377</v>
      </c>
      <c r="B77" s="7" t="s">
        <v>2217</v>
      </c>
      <c r="C77" s="7" t="s">
        <v>99</v>
      </c>
      <c r="D77" s="7" t="s">
        <v>2063</v>
      </c>
      <c r="E77" s="7" t="s">
        <v>82</v>
      </c>
      <c r="F77" s="7" t="s">
        <v>83</v>
      </c>
      <c r="G77" s="12" t="n">
        <v>16879.34</v>
      </c>
      <c r="H77" s="12" t="n">
        <v>16879.34</v>
      </c>
      <c r="I77" s="12" t="n">
        <f aca="false">ROUND(H77-G77, 2)</f>
        <v>0</v>
      </c>
      <c r="J77" s="12" t="n">
        <f aca="false">IF(L77="RESOLVED", 0, ABS(I77))</f>
        <v>0</v>
      </c>
      <c r="K77" s="8" t="n">
        <v>29</v>
      </c>
      <c r="L77" s="24" t="s">
        <v>2352</v>
      </c>
    </row>
    <row r="78" customFormat="false" ht="18.75" hidden="false" customHeight="true" outlineLevel="0" collapsed="false">
      <c r="A78" s="4" t="s">
        <v>2378</v>
      </c>
      <c r="B78" s="4" t="s">
        <v>2218</v>
      </c>
      <c r="C78" s="4" t="s">
        <v>105</v>
      </c>
      <c r="D78" s="4" t="s">
        <v>2067</v>
      </c>
      <c r="E78" s="4" t="s">
        <v>82</v>
      </c>
      <c r="F78" s="4" t="s">
        <v>83</v>
      </c>
      <c r="G78" s="10" t="n">
        <v>17131.76</v>
      </c>
      <c r="H78" s="10" t="n">
        <v>17131.76</v>
      </c>
      <c r="I78" s="10" t="n">
        <f aca="false">ROUND(H78-G78, 2)</f>
        <v>0</v>
      </c>
      <c r="J78" s="10" t="n">
        <f aca="false">IF(L78="RESOLVED", 0, ABS(I78))</f>
        <v>0</v>
      </c>
      <c r="K78" s="6" t="n">
        <v>28</v>
      </c>
      <c r="L78" s="24" t="s">
        <v>2352</v>
      </c>
    </row>
    <row r="79" customFormat="false" ht="18.75" hidden="false" customHeight="true" outlineLevel="0" collapsed="false">
      <c r="A79" s="7" t="s">
        <v>2379</v>
      </c>
      <c r="B79" s="7" t="s">
        <v>2219</v>
      </c>
      <c r="C79" s="7" t="s">
        <v>110</v>
      </c>
      <c r="D79" s="7" t="s">
        <v>2071</v>
      </c>
      <c r="E79" s="7" t="s">
        <v>82</v>
      </c>
      <c r="F79" s="7" t="s">
        <v>83</v>
      </c>
      <c r="G79" s="12" t="n">
        <v>17134.33</v>
      </c>
      <c r="H79" s="12" t="n">
        <v>17134.33</v>
      </c>
      <c r="I79" s="12" t="n">
        <f aca="false">ROUND(H79-G79, 2)</f>
        <v>0</v>
      </c>
      <c r="J79" s="12" t="n">
        <f aca="false">IF(L79="RESOLVED", 0, ABS(I79))</f>
        <v>0</v>
      </c>
      <c r="K79" s="8" t="n">
        <v>27</v>
      </c>
      <c r="L79" s="24" t="s">
        <v>2352</v>
      </c>
    </row>
    <row r="80" customFormat="false" ht="18.75" hidden="false" customHeight="true" outlineLevel="0" collapsed="false">
      <c r="A80" s="4" t="s">
        <v>2380</v>
      </c>
      <c r="B80" s="4" t="s">
        <v>2220</v>
      </c>
      <c r="C80" s="4" t="s">
        <v>115</v>
      </c>
      <c r="D80" s="4" t="s">
        <v>2074</v>
      </c>
      <c r="E80" s="4" t="s">
        <v>82</v>
      </c>
      <c r="F80" s="4" t="s">
        <v>83</v>
      </c>
      <c r="G80" s="10" t="n">
        <v>17398.64</v>
      </c>
      <c r="H80" s="10" t="n">
        <v>17398.64</v>
      </c>
      <c r="I80" s="10" t="n">
        <f aca="false">ROUND(H80-G80, 2)</f>
        <v>0</v>
      </c>
      <c r="J80" s="10" t="n">
        <f aca="false">IF(L80="RESOLVED", 0, ABS(I80))</f>
        <v>0</v>
      </c>
      <c r="K80" s="6" t="n">
        <v>26</v>
      </c>
      <c r="L80" s="24" t="s">
        <v>2352</v>
      </c>
    </row>
    <row r="81" customFormat="false" ht="18.75" hidden="false" customHeight="true" outlineLevel="0" collapsed="false">
      <c r="A81" s="7" t="s">
        <v>2381</v>
      </c>
      <c r="B81" s="7" t="s">
        <v>2221</v>
      </c>
      <c r="C81" s="7" t="s">
        <v>120</v>
      </c>
      <c r="D81" s="7" t="s">
        <v>2063</v>
      </c>
      <c r="E81" s="7" t="s">
        <v>82</v>
      </c>
      <c r="F81" s="7" t="s">
        <v>83</v>
      </c>
      <c r="G81" s="12" t="n">
        <v>17513.87</v>
      </c>
      <c r="H81" s="12" t="n">
        <v>17513.87</v>
      </c>
      <c r="I81" s="12" t="n">
        <f aca="false">ROUND(H81-G81, 2)</f>
        <v>0</v>
      </c>
      <c r="J81" s="12" t="n">
        <f aca="false">IF(L81="RESOLVED", 0, ABS(I81))</f>
        <v>0</v>
      </c>
      <c r="K81" s="8" t="n">
        <v>25</v>
      </c>
      <c r="L81" s="24" t="s">
        <v>2352</v>
      </c>
    </row>
    <row r="82" customFormat="false" ht="18.75" hidden="false" customHeight="true" outlineLevel="0" collapsed="false">
      <c r="A82" s="4" t="s">
        <v>2382</v>
      </c>
      <c r="B82" s="4" t="s">
        <v>2222</v>
      </c>
      <c r="C82" s="4" t="s">
        <v>125</v>
      </c>
      <c r="D82" s="4" t="s">
        <v>2067</v>
      </c>
      <c r="E82" s="4" t="s">
        <v>82</v>
      </c>
      <c r="F82" s="4" t="s">
        <v>83</v>
      </c>
      <c r="G82" s="10" t="n">
        <v>17705.02</v>
      </c>
      <c r="H82" s="10" t="n">
        <v>17705.02</v>
      </c>
      <c r="I82" s="10" t="n">
        <f aca="false">ROUND(H82-G82, 2)</f>
        <v>0</v>
      </c>
      <c r="J82" s="10" t="n">
        <f aca="false">IF(L82="RESOLVED", 0, ABS(I82))</f>
        <v>0</v>
      </c>
      <c r="K82" s="6" t="n">
        <v>24</v>
      </c>
      <c r="L82" s="24" t="s">
        <v>2352</v>
      </c>
    </row>
    <row r="83" customFormat="false" ht="18.75" hidden="false" customHeight="true" outlineLevel="0" collapsed="false">
      <c r="A83" s="7" t="s">
        <v>2383</v>
      </c>
      <c r="B83" s="7" t="s">
        <v>2223</v>
      </c>
      <c r="C83" s="7" t="s">
        <v>130</v>
      </c>
      <c r="D83" s="7" t="s">
        <v>2071</v>
      </c>
      <c r="E83" s="7" t="s">
        <v>82</v>
      </c>
      <c r="F83" s="7" t="s">
        <v>83</v>
      </c>
      <c r="G83" s="12" t="n">
        <v>17961.34</v>
      </c>
      <c r="H83" s="12" t="n">
        <v>17961.34</v>
      </c>
      <c r="I83" s="12" t="n">
        <f aca="false">ROUND(H83-G83, 2)</f>
        <v>0</v>
      </c>
      <c r="J83" s="12" t="n">
        <f aca="false">IF(L83="RESOLVED", 0, ABS(I83))</f>
        <v>0</v>
      </c>
      <c r="K83" s="8" t="n">
        <v>23</v>
      </c>
      <c r="L83" s="24" t="s">
        <v>2352</v>
      </c>
    </row>
    <row r="84" customFormat="false" ht="18.75" hidden="false" customHeight="true" outlineLevel="0" collapsed="false">
      <c r="A84" s="4" t="s">
        <v>2384</v>
      </c>
      <c r="B84" s="4" t="s">
        <v>2224</v>
      </c>
      <c r="C84" s="4" t="s">
        <v>135</v>
      </c>
      <c r="D84" s="4" t="s">
        <v>2074</v>
      </c>
      <c r="E84" s="4" t="s">
        <v>82</v>
      </c>
      <c r="F84" s="4" t="s">
        <v>83</v>
      </c>
      <c r="G84" s="10" t="n">
        <v>17932.18</v>
      </c>
      <c r="H84" s="10" t="n">
        <v>17932.18</v>
      </c>
      <c r="I84" s="10" t="n">
        <f aca="false">ROUND(H84-G84, 2)</f>
        <v>0</v>
      </c>
      <c r="J84" s="10" t="n">
        <f aca="false">IF(L84="RESOLVED", 0, ABS(I84))</f>
        <v>0</v>
      </c>
      <c r="K84" s="6" t="n">
        <v>22</v>
      </c>
      <c r="L84" s="24" t="s">
        <v>2352</v>
      </c>
    </row>
    <row r="85" customFormat="false" ht="18.75" hidden="false" customHeight="true" outlineLevel="0" collapsed="false">
      <c r="A85" s="7" t="s">
        <v>2385</v>
      </c>
      <c r="B85" s="7" t="s">
        <v>2225</v>
      </c>
      <c r="C85" s="7" t="s">
        <v>140</v>
      </c>
      <c r="D85" s="7" t="s">
        <v>2063</v>
      </c>
      <c r="E85" s="7" t="s">
        <v>82</v>
      </c>
      <c r="F85" s="7" t="s">
        <v>83</v>
      </c>
      <c r="G85" s="12" t="n">
        <v>375.09</v>
      </c>
      <c r="H85" s="12" t="n">
        <v>375.09</v>
      </c>
      <c r="I85" s="12" t="n">
        <f aca="false">ROUND(H85-G85, 2)</f>
        <v>0</v>
      </c>
      <c r="J85" s="12" t="n">
        <f aca="false">IF(L85="RESOLVED", 0, ABS(I85))</f>
        <v>0</v>
      </c>
      <c r="K85" s="8" t="n">
        <v>21</v>
      </c>
      <c r="L85" s="24" t="s">
        <v>2352</v>
      </c>
    </row>
    <row r="86" customFormat="false" ht="18.75" hidden="false" customHeight="true" outlineLevel="0" collapsed="false">
      <c r="A86" s="4" t="s">
        <v>2386</v>
      </c>
      <c r="B86" s="4" t="s">
        <v>2226</v>
      </c>
      <c r="C86" s="4" t="s">
        <v>145</v>
      </c>
      <c r="D86" s="4" t="s">
        <v>2067</v>
      </c>
      <c r="E86" s="4" t="s">
        <v>82</v>
      </c>
      <c r="F86" s="4" t="s">
        <v>83</v>
      </c>
      <c r="G86" s="10" t="n">
        <v>539.52</v>
      </c>
      <c r="H86" s="10" t="n">
        <v>539.52</v>
      </c>
      <c r="I86" s="10" t="n">
        <f aca="false">ROUND(H86-G86, 2)</f>
        <v>0</v>
      </c>
      <c r="J86" s="10" t="n">
        <f aca="false">IF(L86="RESOLVED", 0, ABS(I86))</f>
        <v>0</v>
      </c>
      <c r="K86" s="6" t="n">
        <v>20</v>
      </c>
      <c r="L86" s="24" t="s">
        <v>2352</v>
      </c>
    </row>
    <row r="87" customFormat="false" ht="18.75" hidden="false" customHeight="true" outlineLevel="0" collapsed="false">
      <c r="A87" s="7" t="s">
        <v>2387</v>
      </c>
      <c r="B87" s="7" t="s">
        <v>2227</v>
      </c>
      <c r="C87" s="7" t="s">
        <v>150</v>
      </c>
      <c r="D87" s="7" t="s">
        <v>2071</v>
      </c>
      <c r="E87" s="7" t="s">
        <v>82</v>
      </c>
      <c r="F87" s="7" t="s">
        <v>83</v>
      </c>
      <c r="G87" s="12" t="n">
        <v>710.66</v>
      </c>
      <c r="H87" s="12" t="n">
        <v>710.66</v>
      </c>
      <c r="I87" s="12" t="n">
        <f aca="false">ROUND(H87-G87, 2)</f>
        <v>0</v>
      </c>
      <c r="J87" s="12" t="n">
        <f aca="false">IF(L87="RESOLVED", 0, ABS(I87))</f>
        <v>0</v>
      </c>
      <c r="K87" s="8" t="n">
        <v>19</v>
      </c>
      <c r="L87" s="24" t="s">
        <v>2352</v>
      </c>
    </row>
    <row r="88" customFormat="false" ht="18.75" hidden="false" customHeight="true" outlineLevel="0" collapsed="false">
      <c r="A88" s="4" t="s">
        <v>2388</v>
      </c>
      <c r="B88" s="4" t="s">
        <v>2228</v>
      </c>
      <c r="C88" s="4" t="s">
        <v>155</v>
      </c>
      <c r="D88" s="4" t="s">
        <v>2074</v>
      </c>
      <c r="E88" s="4" t="s">
        <v>82</v>
      </c>
      <c r="F88" s="4" t="s">
        <v>83</v>
      </c>
      <c r="G88" s="10" t="n">
        <v>882.44</v>
      </c>
      <c r="H88" s="10" t="n">
        <v>882.44</v>
      </c>
      <c r="I88" s="10" t="n">
        <f aca="false">ROUND(H88-G88, 2)</f>
        <v>0</v>
      </c>
      <c r="J88" s="10" t="n">
        <f aca="false">IF(L88="RESOLVED", 0, ABS(I88))</f>
        <v>0</v>
      </c>
      <c r="K88" s="6" t="n">
        <v>18</v>
      </c>
      <c r="L88" s="24" t="s">
        <v>2352</v>
      </c>
    </row>
    <row r="89" customFormat="false" ht="18.75" hidden="false" customHeight="true" outlineLevel="0" collapsed="false">
      <c r="A89" s="7" t="s">
        <v>2389</v>
      </c>
      <c r="B89" s="7" t="s">
        <v>2229</v>
      </c>
      <c r="C89" s="7" t="s">
        <v>160</v>
      </c>
      <c r="D89" s="7" t="s">
        <v>2063</v>
      </c>
      <c r="E89" s="7" t="s">
        <v>82</v>
      </c>
      <c r="F89" s="7" t="s">
        <v>83</v>
      </c>
      <c r="G89" s="12" t="n">
        <v>1046.85</v>
      </c>
      <c r="H89" s="12" t="n">
        <v>1046.85</v>
      </c>
      <c r="I89" s="12" t="n">
        <f aca="false">ROUND(H89-G89, 2)</f>
        <v>0</v>
      </c>
      <c r="J89" s="12" t="n">
        <f aca="false">IF(L89="RESOLVED", 0, ABS(I89))</f>
        <v>0</v>
      </c>
      <c r="K89" s="8" t="n">
        <v>17</v>
      </c>
      <c r="L89" s="24" t="s">
        <v>2352</v>
      </c>
    </row>
    <row r="90" customFormat="false" ht="18.75" hidden="false" customHeight="true" outlineLevel="0" collapsed="false">
      <c r="A90" s="4" t="s">
        <v>2390</v>
      </c>
      <c r="B90" s="4" t="s">
        <v>2230</v>
      </c>
      <c r="C90" s="4" t="s">
        <v>165</v>
      </c>
      <c r="D90" s="4" t="s">
        <v>2067</v>
      </c>
      <c r="E90" s="4" t="s">
        <v>82</v>
      </c>
      <c r="F90" s="4" t="s">
        <v>83</v>
      </c>
      <c r="G90" s="10" t="n">
        <v>1223.81</v>
      </c>
      <c r="H90" s="10" t="n">
        <v>1223.81</v>
      </c>
      <c r="I90" s="10" t="n">
        <f aca="false">ROUND(H90-G90, 2)</f>
        <v>0</v>
      </c>
      <c r="J90" s="10" t="n">
        <f aca="false">IF(L90="RESOLVED", 0, ABS(I90))</f>
        <v>0</v>
      </c>
      <c r="K90" s="6" t="n">
        <v>16</v>
      </c>
      <c r="L90" s="24" t="s">
        <v>2352</v>
      </c>
    </row>
    <row r="91" customFormat="false" ht="18.75" hidden="false" customHeight="true" outlineLevel="0" collapsed="false">
      <c r="A91" s="7" t="s">
        <v>2391</v>
      </c>
      <c r="B91" s="7" t="s">
        <v>2231</v>
      </c>
      <c r="C91" s="7" t="s">
        <v>170</v>
      </c>
      <c r="D91" s="7" t="s">
        <v>2071</v>
      </c>
      <c r="E91" s="7" t="s">
        <v>82</v>
      </c>
      <c r="F91" s="7" t="s">
        <v>83</v>
      </c>
      <c r="G91" s="12" t="n">
        <v>1374.67</v>
      </c>
      <c r="H91" s="12" t="n">
        <v>1374.67</v>
      </c>
      <c r="I91" s="12" t="n">
        <f aca="false">ROUND(H91-G91, 2)</f>
        <v>0</v>
      </c>
      <c r="J91" s="12" t="n">
        <f aca="false">IF(L91="RESOLVED", 0, ABS(I91))</f>
        <v>0</v>
      </c>
      <c r="K91" s="8" t="n">
        <v>15</v>
      </c>
      <c r="L91" s="24" t="s">
        <v>2352</v>
      </c>
    </row>
    <row r="92" customFormat="false" ht="18.75" hidden="false" customHeight="true" outlineLevel="0" collapsed="false">
      <c r="A92" s="4" t="s">
        <v>2392</v>
      </c>
      <c r="B92" s="4" t="s">
        <v>2232</v>
      </c>
      <c r="C92" s="4" t="s">
        <v>175</v>
      </c>
      <c r="D92" s="4" t="s">
        <v>2074</v>
      </c>
      <c r="E92" s="4" t="s">
        <v>82</v>
      </c>
      <c r="F92" s="4" t="s">
        <v>83</v>
      </c>
      <c r="G92" s="10" t="n">
        <v>1564.36</v>
      </c>
      <c r="H92" s="10" t="n">
        <v>1564.36</v>
      </c>
      <c r="I92" s="10" t="n">
        <f aca="false">ROUND(H92-G92, 2)</f>
        <v>0</v>
      </c>
      <c r="J92" s="10" t="n">
        <f aca="false">IF(L92="RESOLVED", 0, ABS(I92))</f>
        <v>0</v>
      </c>
      <c r="K92" s="6" t="n">
        <v>14</v>
      </c>
      <c r="L92" s="24" t="s">
        <v>2352</v>
      </c>
    </row>
    <row r="93" customFormat="false" ht="18.75" hidden="false" customHeight="true" outlineLevel="0" collapsed="false">
      <c r="A93" s="7" t="s">
        <v>2393</v>
      </c>
      <c r="B93" s="7" t="s">
        <v>2233</v>
      </c>
      <c r="C93" s="7" t="s">
        <v>180</v>
      </c>
      <c r="D93" s="7" t="s">
        <v>2063</v>
      </c>
      <c r="E93" s="7" t="s">
        <v>82</v>
      </c>
      <c r="F93" s="7" t="s">
        <v>83</v>
      </c>
      <c r="G93" s="12" t="n">
        <v>1720.99</v>
      </c>
      <c r="H93" s="12" t="n">
        <v>1720.99</v>
      </c>
      <c r="I93" s="12" t="n">
        <f aca="false">ROUND(H93-G93, 2)</f>
        <v>0</v>
      </c>
      <c r="J93" s="12" t="n">
        <f aca="false">IF(L93="RESOLVED", 0, ABS(I93))</f>
        <v>0</v>
      </c>
      <c r="K93" s="8" t="n">
        <v>13</v>
      </c>
      <c r="L93" s="24" t="s">
        <v>2352</v>
      </c>
    </row>
    <row r="94" customFormat="false" ht="18.75" hidden="false" customHeight="true" outlineLevel="0" collapsed="false">
      <c r="A94" s="4" t="s">
        <v>2394</v>
      </c>
      <c r="B94" s="4" t="s">
        <v>2234</v>
      </c>
      <c r="C94" s="4" t="s">
        <v>185</v>
      </c>
      <c r="D94" s="4" t="s">
        <v>2067</v>
      </c>
      <c r="E94" s="4" t="s">
        <v>82</v>
      </c>
      <c r="F94" s="4" t="s">
        <v>83</v>
      </c>
      <c r="G94" s="10" t="n">
        <v>1883.78</v>
      </c>
      <c r="H94" s="10" t="n">
        <v>1883.78</v>
      </c>
      <c r="I94" s="10" t="n">
        <f aca="false">ROUND(H94-G94, 2)</f>
        <v>0</v>
      </c>
      <c r="J94" s="10" t="n">
        <f aca="false">IF(L94="RESOLVED", 0, ABS(I94))</f>
        <v>0</v>
      </c>
      <c r="K94" s="6" t="n">
        <v>12</v>
      </c>
      <c r="L94" s="24" t="s">
        <v>2352</v>
      </c>
    </row>
    <row r="95" customFormat="false" ht="18.75" hidden="false" customHeight="true" outlineLevel="0" collapsed="false">
      <c r="A95" s="7" t="s">
        <v>2395</v>
      </c>
      <c r="B95" s="7" t="s">
        <v>2235</v>
      </c>
      <c r="C95" s="7" t="s">
        <v>190</v>
      </c>
      <c r="D95" s="7" t="s">
        <v>2071</v>
      </c>
      <c r="E95" s="7" t="s">
        <v>82</v>
      </c>
      <c r="F95" s="7" t="s">
        <v>83</v>
      </c>
      <c r="G95" s="12" t="n">
        <v>2067.53</v>
      </c>
      <c r="H95" s="12" t="n">
        <v>2067.53</v>
      </c>
      <c r="I95" s="12" t="n">
        <f aca="false">ROUND(H95-G95, 2)</f>
        <v>0</v>
      </c>
      <c r="J95" s="12" t="n">
        <f aca="false">IF(L95="RESOLVED", 0, ABS(I95))</f>
        <v>0</v>
      </c>
      <c r="K95" s="8" t="n">
        <v>11</v>
      </c>
      <c r="L95" s="24" t="s">
        <v>2352</v>
      </c>
    </row>
    <row r="96" customFormat="false" ht="18.75" hidden="false" customHeight="true" outlineLevel="0" collapsed="false">
      <c r="A96" s="4" t="s">
        <v>2396</v>
      </c>
      <c r="B96" s="4" t="s">
        <v>2236</v>
      </c>
      <c r="C96" s="4" t="s">
        <v>195</v>
      </c>
      <c r="D96" s="4" t="s">
        <v>2074</v>
      </c>
      <c r="E96" s="4" t="s">
        <v>82</v>
      </c>
      <c r="F96" s="4" t="s">
        <v>83</v>
      </c>
      <c r="G96" s="10" t="n">
        <v>2239.28</v>
      </c>
      <c r="H96" s="10" t="n">
        <v>2239.28</v>
      </c>
      <c r="I96" s="10" t="n">
        <f aca="false">ROUND(H96-G96, 2)</f>
        <v>0</v>
      </c>
      <c r="J96" s="10" t="n">
        <f aca="false">IF(L96="RESOLVED", 0, ABS(I96))</f>
        <v>0</v>
      </c>
      <c r="K96" s="6" t="n">
        <v>10</v>
      </c>
      <c r="L96" s="24" t="s">
        <v>2352</v>
      </c>
    </row>
    <row r="97" customFormat="false" ht="18.75" hidden="false" customHeight="true" outlineLevel="0" collapsed="false">
      <c r="A97" s="7" t="s">
        <v>2397</v>
      </c>
      <c r="B97" s="7" t="s">
        <v>2237</v>
      </c>
      <c r="C97" s="7" t="s">
        <v>200</v>
      </c>
      <c r="D97" s="7" t="s">
        <v>2063</v>
      </c>
      <c r="E97" s="7" t="s">
        <v>82</v>
      </c>
      <c r="F97" s="7" t="s">
        <v>83</v>
      </c>
      <c r="G97" s="12" t="n">
        <v>2402.8</v>
      </c>
      <c r="H97" s="12" t="n">
        <v>2402.8</v>
      </c>
      <c r="I97" s="12" t="n">
        <f aca="false">ROUND(H97-G97, 2)</f>
        <v>0</v>
      </c>
      <c r="J97" s="12" t="n">
        <f aca="false">IF(L97="RESOLVED", 0, ABS(I97))</f>
        <v>0</v>
      </c>
      <c r="K97" s="8" t="n">
        <v>9</v>
      </c>
      <c r="L97" s="24" t="s">
        <v>2352</v>
      </c>
    </row>
    <row r="98" customFormat="false" ht="18.75" hidden="false" customHeight="true" outlineLevel="0" collapsed="false">
      <c r="A98" s="4" t="s">
        <v>2398</v>
      </c>
      <c r="B98" s="4" t="s">
        <v>2238</v>
      </c>
      <c r="C98" s="4" t="s">
        <v>205</v>
      </c>
      <c r="D98" s="4" t="s">
        <v>2067</v>
      </c>
      <c r="E98" s="4" t="s">
        <v>82</v>
      </c>
      <c r="F98" s="4" t="s">
        <v>83</v>
      </c>
      <c r="G98" s="10" t="n">
        <v>2561.43</v>
      </c>
      <c r="H98" s="10" t="n">
        <v>2561.43</v>
      </c>
      <c r="I98" s="10" t="n">
        <f aca="false">ROUND(H98-G98, 2)</f>
        <v>0</v>
      </c>
      <c r="J98" s="10" t="n">
        <f aca="false">IF(L98="RESOLVED", 0, ABS(I98))</f>
        <v>0</v>
      </c>
      <c r="K98" s="6" t="n">
        <v>8</v>
      </c>
      <c r="L98" s="24" t="s">
        <v>2352</v>
      </c>
    </row>
    <row r="99" customFormat="false" ht="18.75" hidden="false" customHeight="true" outlineLevel="0" collapsed="false">
      <c r="A99" s="7" t="s">
        <v>2399</v>
      </c>
      <c r="B99" s="7" t="s">
        <v>2239</v>
      </c>
      <c r="C99" s="7" t="s">
        <v>210</v>
      </c>
      <c r="D99" s="7" t="s">
        <v>2071</v>
      </c>
      <c r="E99" s="7" t="s">
        <v>82</v>
      </c>
      <c r="F99" s="7" t="s">
        <v>83</v>
      </c>
      <c r="G99" s="12" t="n">
        <v>2749.7</v>
      </c>
      <c r="H99" s="12" t="n">
        <v>2749.7</v>
      </c>
      <c r="I99" s="12" t="n">
        <f aca="false">ROUND(H99-G99, 2)</f>
        <v>0</v>
      </c>
      <c r="J99" s="12" t="n">
        <f aca="false">IF(L99="RESOLVED", 0, ABS(I99))</f>
        <v>0</v>
      </c>
      <c r="K99" s="8" t="n">
        <v>7</v>
      </c>
      <c r="L99" s="24" t="s">
        <v>2352</v>
      </c>
    </row>
    <row r="100" customFormat="false" ht="18.75" hidden="false" customHeight="true" outlineLevel="0" collapsed="false">
      <c r="A100" s="4" t="s">
        <v>2400</v>
      </c>
      <c r="B100" s="4" t="s">
        <v>2240</v>
      </c>
      <c r="C100" s="4" t="s">
        <v>215</v>
      </c>
      <c r="D100" s="4" t="s">
        <v>2074</v>
      </c>
      <c r="E100" s="4" t="s">
        <v>82</v>
      </c>
      <c r="F100" s="4" t="s">
        <v>83</v>
      </c>
      <c r="G100" s="10" t="n">
        <v>2895.11</v>
      </c>
      <c r="H100" s="10" t="n">
        <v>2895.11</v>
      </c>
      <c r="I100" s="10" t="n">
        <f aca="false">ROUND(H100-G100, 2)</f>
        <v>0</v>
      </c>
      <c r="J100" s="10" t="n">
        <f aca="false">IF(L100="RESOLVED", 0, ABS(I100))</f>
        <v>0</v>
      </c>
      <c r="K100" s="6" t="n">
        <v>6</v>
      </c>
      <c r="L100" s="24" t="s">
        <v>2352</v>
      </c>
    </row>
    <row r="101" customFormat="false" ht="18.75" hidden="false" customHeight="true" outlineLevel="0" collapsed="false">
      <c r="A101" s="7" t="s">
        <v>2401</v>
      </c>
      <c r="B101" s="7" t="s">
        <v>2241</v>
      </c>
      <c r="C101" s="7" t="s">
        <v>220</v>
      </c>
      <c r="D101" s="7" t="s">
        <v>2063</v>
      </c>
      <c r="E101" s="7" t="s">
        <v>82</v>
      </c>
      <c r="F101" s="7" t="s">
        <v>83</v>
      </c>
      <c r="G101" s="12" t="n">
        <v>3092.47</v>
      </c>
      <c r="H101" s="12" t="n">
        <v>3092.47</v>
      </c>
      <c r="I101" s="12" t="n">
        <f aca="false">ROUND(H101-G101, 2)</f>
        <v>0</v>
      </c>
      <c r="J101" s="12" t="n">
        <f aca="false">IF(L101="RESOLVED", 0, ABS(I101))</f>
        <v>0</v>
      </c>
      <c r="K101" s="8" t="n">
        <v>5</v>
      </c>
      <c r="L101" s="24" t="s">
        <v>2352</v>
      </c>
    </row>
    <row r="102" customFormat="false" ht="18.75" hidden="false" customHeight="true" outlineLevel="0" collapsed="false">
      <c r="A102" s="4" t="s">
        <v>2402</v>
      </c>
      <c r="B102" s="4" t="s">
        <v>2242</v>
      </c>
      <c r="C102" s="4" t="s">
        <v>99</v>
      </c>
      <c r="D102" s="4" t="s">
        <v>2063</v>
      </c>
      <c r="E102" s="4" t="s">
        <v>82</v>
      </c>
      <c r="F102" s="4" t="s">
        <v>83</v>
      </c>
      <c r="G102" s="10" t="n">
        <v>3250.34</v>
      </c>
      <c r="H102" s="10" t="n">
        <v>3250.34</v>
      </c>
      <c r="I102" s="10" t="n">
        <f aca="false">ROUND(H102-G102, 2)</f>
        <v>0</v>
      </c>
      <c r="J102" s="10" t="n">
        <f aca="false">IF(L102="RESOLVED", 0, ABS(I102))</f>
        <v>0</v>
      </c>
      <c r="K102" s="6" t="n">
        <v>54</v>
      </c>
      <c r="L102" s="24" t="s">
        <v>2352</v>
      </c>
    </row>
    <row r="103" customFormat="false" ht="18.75" hidden="false" customHeight="true" outlineLevel="0" collapsed="false">
      <c r="A103" s="7" t="s">
        <v>2403</v>
      </c>
      <c r="B103" s="7" t="s">
        <v>2243</v>
      </c>
      <c r="C103" s="7" t="s">
        <v>105</v>
      </c>
      <c r="D103" s="7" t="s">
        <v>2067</v>
      </c>
      <c r="E103" s="7" t="s">
        <v>82</v>
      </c>
      <c r="F103" s="7" t="s">
        <v>83</v>
      </c>
      <c r="G103" s="12" t="n">
        <v>3437.05</v>
      </c>
      <c r="H103" s="12" t="n">
        <v>3437.05</v>
      </c>
      <c r="I103" s="12" t="n">
        <f aca="false">ROUND(H103-G103, 2)</f>
        <v>0</v>
      </c>
      <c r="J103" s="12" t="n">
        <f aca="false">IF(L103="RESOLVED", 0, ABS(I103))</f>
        <v>0</v>
      </c>
      <c r="K103" s="8" t="n">
        <v>53</v>
      </c>
      <c r="L103" s="24" t="s">
        <v>2352</v>
      </c>
    </row>
    <row r="104" customFormat="false" ht="18.75" hidden="false" customHeight="true" outlineLevel="0" collapsed="false">
      <c r="A104" s="4" t="s">
        <v>2404</v>
      </c>
      <c r="B104" s="4" t="s">
        <v>2244</v>
      </c>
      <c r="C104" s="4" t="s">
        <v>110</v>
      </c>
      <c r="D104" s="4" t="s">
        <v>2071</v>
      </c>
      <c r="E104" s="4" t="s">
        <v>82</v>
      </c>
      <c r="F104" s="4" t="s">
        <v>83</v>
      </c>
      <c r="G104" s="10" t="n">
        <v>3571.06</v>
      </c>
      <c r="H104" s="10" t="n">
        <v>3571.06</v>
      </c>
      <c r="I104" s="10" t="n">
        <f aca="false">ROUND(H104-G104, 2)</f>
        <v>0</v>
      </c>
      <c r="J104" s="10" t="n">
        <f aca="false">IF(L104="RESOLVED", 0, ABS(I104))</f>
        <v>0</v>
      </c>
      <c r="K104" s="6" t="n">
        <v>52</v>
      </c>
      <c r="L104" s="24" t="s">
        <v>2352</v>
      </c>
    </row>
    <row r="105" customFormat="false" ht="18.75" hidden="false" customHeight="true" outlineLevel="0" collapsed="false">
      <c r="A105" s="7" t="s">
        <v>2405</v>
      </c>
      <c r="B105" s="7" t="s">
        <v>2245</v>
      </c>
      <c r="C105" s="7" t="s">
        <v>115</v>
      </c>
      <c r="D105" s="7" t="s">
        <v>2074</v>
      </c>
      <c r="E105" s="7" t="s">
        <v>82</v>
      </c>
      <c r="F105" s="7" t="s">
        <v>83</v>
      </c>
      <c r="G105" s="12" t="n">
        <v>3760.46</v>
      </c>
      <c r="H105" s="12" t="n">
        <v>3760.46</v>
      </c>
      <c r="I105" s="12" t="n">
        <f aca="false">ROUND(H105-G105, 2)</f>
        <v>0</v>
      </c>
      <c r="J105" s="12" t="n">
        <f aca="false">IF(L105="RESOLVED", 0, ABS(I105))</f>
        <v>0</v>
      </c>
      <c r="K105" s="8" t="n">
        <v>51</v>
      </c>
      <c r="L105" s="24" t="s">
        <v>2352</v>
      </c>
    </row>
    <row r="106" customFormat="false" ht="18.75" hidden="false" customHeight="true" outlineLevel="0" collapsed="false">
      <c r="A106" s="4" t="s">
        <v>2406</v>
      </c>
      <c r="B106" s="4" t="s">
        <v>2246</v>
      </c>
      <c r="C106" s="4" t="s">
        <v>120</v>
      </c>
      <c r="D106" s="4" t="s">
        <v>2063</v>
      </c>
      <c r="E106" s="4" t="s">
        <v>82</v>
      </c>
      <c r="F106" s="4" t="s">
        <v>83</v>
      </c>
      <c r="G106" s="10" t="n">
        <v>3917.73</v>
      </c>
      <c r="H106" s="10" t="n">
        <v>3917.73</v>
      </c>
      <c r="I106" s="10" t="n">
        <f aca="false">ROUND(H106-G106, 2)</f>
        <v>0</v>
      </c>
      <c r="J106" s="10" t="n">
        <f aca="false">IF(L106="RESOLVED", 0, ABS(I106))</f>
        <v>0</v>
      </c>
      <c r="K106" s="6" t="n">
        <v>50</v>
      </c>
      <c r="L106" s="24" t="s">
        <v>2352</v>
      </c>
    </row>
    <row r="107" customFormat="false" ht="18.75" hidden="false" customHeight="true" outlineLevel="0" collapsed="false">
      <c r="A107" s="7" t="s">
        <v>2407</v>
      </c>
      <c r="B107" s="7" t="s">
        <v>2247</v>
      </c>
      <c r="C107" s="7" t="s">
        <v>125</v>
      </c>
      <c r="D107" s="7" t="s">
        <v>2067</v>
      </c>
      <c r="E107" s="7" t="s">
        <v>82</v>
      </c>
      <c r="F107" s="7" t="s">
        <v>83</v>
      </c>
      <c r="G107" s="12" t="n">
        <v>4092.46</v>
      </c>
      <c r="H107" s="12" t="n">
        <v>4092.46</v>
      </c>
      <c r="I107" s="12" t="n">
        <f aca="false">ROUND(H107-G107, 2)</f>
        <v>0</v>
      </c>
      <c r="J107" s="12" t="n">
        <f aca="false">IF(L107="RESOLVED", 0, ABS(I107))</f>
        <v>0</v>
      </c>
      <c r="K107" s="8" t="n">
        <v>49</v>
      </c>
      <c r="L107" s="24" t="s">
        <v>2352</v>
      </c>
    </row>
    <row r="108" customFormat="false" ht="18.75" hidden="false" customHeight="true" outlineLevel="0" collapsed="false">
      <c r="A108" s="4" t="s">
        <v>2408</v>
      </c>
      <c r="B108" s="4" t="s">
        <v>2248</v>
      </c>
      <c r="C108" s="4" t="s">
        <v>130</v>
      </c>
      <c r="D108" s="4" t="s">
        <v>2071</v>
      </c>
      <c r="E108" s="4" t="s">
        <v>82</v>
      </c>
      <c r="F108" s="4" t="s">
        <v>83</v>
      </c>
      <c r="G108" s="10" t="n">
        <v>4282.06</v>
      </c>
      <c r="H108" s="10" t="n">
        <v>4282.06</v>
      </c>
      <c r="I108" s="10" t="n">
        <f aca="false">ROUND(H108-G108, 2)</f>
        <v>0</v>
      </c>
      <c r="J108" s="10" t="n">
        <f aca="false">IF(L108="RESOLVED", 0, ABS(I108))</f>
        <v>0</v>
      </c>
      <c r="K108" s="6" t="n">
        <v>48</v>
      </c>
      <c r="L108" s="24" t="s">
        <v>2352</v>
      </c>
    </row>
    <row r="109" customFormat="false" ht="18.75" hidden="false" customHeight="true" outlineLevel="0" collapsed="false">
      <c r="A109" s="7" t="s">
        <v>2409</v>
      </c>
      <c r="B109" s="7" t="s">
        <v>2249</v>
      </c>
      <c r="C109" s="7" t="s">
        <v>135</v>
      </c>
      <c r="D109" s="7" t="s">
        <v>2074</v>
      </c>
      <c r="E109" s="7" t="s">
        <v>82</v>
      </c>
      <c r="F109" s="7" t="s">
        <v>83</v>
      </c>
      <c r="G109" s="12" t="n">
        <v>4401.78</v>
      </c>
      <c r="H109" s="12" t="n">
        <v>4401.78</v>
      </c>
      <c r="I109" s="12" t="n">
        <f aca="false">ROUND(H109-G109, 2)</f>
        <v>0</v>
      </c>
      <c r="J109" s="12" t="n">
        <f aca="false">IF(L109="RESOLVED", 0, ABS(I109))</f>
        <v>0</v>
      </c>
      <c r="K109" s="8" t="n">
        <v>47</v>
      </c>
      <c r="L109" s="24" t="s">
        <v>2352</v>
      </c>
    </row>
    <row r="110" customFormat="false" ht="18.75" hidden="false" customHeight="true" outlineLevel="0" collapsed="false">
      <c r="A110" s="4" t="s">
        <v>2410</v>
      </c>
      <c r="B110" s="4" t="s">
        <v>2250</v>
      </c>
      <c r="C110" s="4" t="s">
        <v>140</v>
      </c>
      <c r="D110" s="4" t="s">
        <v>2063</v>
      </c>
      <c r="E110" s="4" t="s">
        <v>82</v>
      </c>
      <c r="F110" s="4" t="s">
        <v>83</v>
      </c>
      <c r="G110" s="10" t="n">
        <v>4631.44</v>
      </c>
      <c r="H110" s="10" t="n">
        <v>4631.44</v>
      </c>
      <c r="I110" s="10" t="n">
        <f aca="false">ROUND(H110-G110, 2)</f>
        <v>0</v>
      </c>
      <c r="J110" s="10" t="n">
        <f aca="false">IF(L110="RESOLVED", 0, ABS(I110))</f>
        <v>0</v>
      </c>
      <c r="K110" s="6" t="n">
        <v>46</v>
      </c>
      <c r="L110" s="24" t="s">
        <v>2352</v>
      </c>
    </row>
    <row r="111" customFormat="false" ht="18.75" hidden="false" customHeight="true" outlineLevel="0" collapsed="false">
      <c r="A111" s="7" t="s">
        <v>2411</v>
      </c>
      <c r="B111" s="7" t="s">
        <v>2251</v>
      </c>
      <c r="C111" s="7" t="s">
        <v>145</v>
      </c>
      <c r="D111" s="7" t="s">
        <v>2067</v>
      </c>
      <c r="E111" s="7" t="s">
        <v>82</v>
      </c>
      <c r="F111" s="7" t="s">
        <v>83</v>
      </c>
      <c r="G111" s="12" t="n">
        <v>4757.59</v>
      </c>
      <c r="H111" s="12" t="n">
        <v>4757.59</v>
      </c>
      <c r="I111" s="12" t="n">
        <f aca="false">ROUND(H111-G111, 2)</f>
        <v>0</v>
      </c>
      <c r="J111" s="12" t="n">
        <f aca="false">IF(L111="RESOLVED", 0, ABS(I111))</f>
        <v>0</v>
      </c>
      <c r="K111" s="8" t="n">
        <v>45</v>
      </c>
      <c r="L111" s="24" t="s">
        <v>2352</v>
      </c>
    </row>
    <row r="112" customFormat="false" ht="18.75" hidden="false" customHeight="true" outlineLevel="0" collapsed="false">
      <c r="A112" s="4" t="s">
        <v>2412</v>
      </c>
      <c r="B112" s="4" t="s">
        <v>2252</v>
      </c>
      <c r="C112" s="4" t="s">
        <v>150</v>
      </c>
      <c r="D112" s="4" t="s">
        <v>2071</v>
      </c>
      <c r="E112" s="4" t="s">
        <v>82</v>
      </c>
      <c r="F112" s="4" t="s">
        <v>83</v>
      </c>
      <c r="G112" s="10" t="n">
        <v>4940.52</v>
      </c>
      <c r="H112" s="10" t="n">
        <v>4940.52</v>
      </c>
      <c r="I112" s="10" t="n">
        <f aca="false">ROUND(H112-G112, 2)</f>
        <v>0</v>
      </c>
      <c r="J112" s="10" t="n">
        <f aca="false">IF(L112="RESOLVED", 0, ABS(I112))</f>
        <v>0</v>
      </c>
      <c r="K112" s="6" t="n">
        <v>44</v>
      </c>
      <c r="L112" s="24" t="s">
        <v>2352</v>
      </c>
    </row>
    <row r="113" customFormat="false" ht="18.75" hidden="false" customHeight="true" outlineLevel="0" collapsed="false">
      <c r="A113" s="7" t="s">
        <v>2413</v>
      </c>
      <c r="B113" s="7" t="s">
        <v>2253</v>
      </c>
      <c r="C113" s="7" t="s">
        <v>155</v>
      </c>
      <c r="D113" s="7" t="s">
        <v>2074</v>
      </c>
      <c r="E113" s="7" t="s">
        <v>82</v>
      </c>
      <c r="F113" s="7" t="s">
        <v>83</v>
      </c>
      <c r="G113" s="12" t="n">
        <v>5126.04</v>
      </c>
      <c r="H113" s="12" t="n">
        <v>5126.04</v>
      </c>
      <c r="I113" s="12" t="n">
        <f aca="false">ROUND(H113-G113, 2)</f>
        <v>0</v>
      </c>
      <c r="J113" s="12" t="n">
        <f aca="false">IF(L113="RESOLVED", 0, ABS(I113))</f>
        <v>0</v>
      </c>
      <c r="K113" s="8" t="n">
        <v>43</v>
      </c>
      <c r="L113" s="24" t="s">
        <v>2352</v>
      </c>
    </row>
    <row r="114" customFormat="false" ht="18.75" hidden="false" customHeight="true" outlineLevel="0" collapsed="false">
      <c r="A114" s="4" t="s">
        <v>2414</v>
      </c>
      <c r="B114" s="4" t="s">
        <v>2254</v>
      </c>
      <c r="C114" s="4" t="s">
        <v>160</v>
      </c>
      <c r="D114" s="4" t="s">
        <v>2063</v>
      </c>
      <c r="E114" s="4" t="s">
        <v>82</v>
      </c>
      <c r="F114" s="4" t="s">
        <v>83</v>
      </c>
      <c r="G114" s="10" t="n">
        <v>5272.57</v>
      </c>
      <c r="H114" s="10" t="n">
        <v>5272.57</v>
      </c>
      <c r="I114" s="10" t="n">
        <f aca="false">ROUND(H114-G114, 2)</f>
        <v>0</v>
      </c>
      <c r="J114" s="10" t="n">
        <f aca="false">IF(L114="RESOLVED", 0, ABS(I114))</f>
        <v>0</v>
      </c>
      <c r="K114" s="6" t="n">
        <v>42</v>
      </c>
      <c r="L114" s="24" t="s">
        <v>2352</v>
      </c>
    </row>
    <row r="115" customFormat="false" ht="18.75" hidden="false" customHeight="true" outlineLevel="0" collapsed="false">
      <c r="A115" s="7" t="s">
        <v>2415</v>
      </c>
      <c r="B115" s="7" t="s">
        <v>2255</v>
      </c>
      <c r="C115" s="7" t="s">
        <v>165</v>
      </c>
      <c r="D115" s="7" t="s">
        <v>2067</v>
      </c>
      <c r="E115" s="7" t="s">
        <v>82</v>
      </c>
      <c r="F115" s="7" t="s">
        <v>83</v>
      </c>
      <c r="G115" s="12" t="n">
        <v>5468.96</v>
      </c>
      <c r="H115" s="12" t="n">
        <v>5468.96</v>
      </c>
      <c r="I115" s="12" t="n">
        <f aca="false">ROUND(H115-G115, 2)</f>
        <v>0</v>
      </c>
      <c r="J115" s="12" t="n">
        <f aca="false">IF(L115="RESOLVED", 0, ABS(I115))</f>
        <v>0</v>
      </c>
      <c r="K115" s="8" t="n">
        <v>41</v>
      </c>
      <c r="L115" s="24" t="s">
        <v>2352</v>
      </c>
    </row>
    <row r="116" customFormat="false" ht="18.75" hidden="false" customHeight="true" outlineLevel="0" collapsed="false">
      <c r="A116" s="4" t="s">
        <v>2416</v>
      </c>
      <c r="B116" s="4" t="s">
        <v>2256</v>
      </c>
      <c r="C116" s="4" t="s">
        <v>170</v>
      </c>
      <c r="D116" s="4" t="s">
        <v>2071</v>
      </c>
      <c r="E116" s="4" t="s">
        <v>82</v>
      </c>
      <c r="F116" s="4" t="s">
        <v>83</v>
      </c>
      <c r="G116" s="10" t="n">
        <v>5572.33</v>
      </c>
      <c r="H116" s="10" t="n">
        <v>5572.33</v>
      </c>
      <c r="I116" s="10" t="n">
        <f aca="false">ROUND(H116-G116, 2)</f>
        <v>0</v>
      </c>
      <c r="J116" s="10" t="n">
        <f aca="false">IF(L116="RESOLVED", 0, ABS(I116))</f>
        <v>0</v>
      </c>
      <c r="K116" s="6" t="n">
        <v>40</v>
      </c>
      <c r="L116" s="24" t="s">
        <v>2352</v>
      </c>
    </row>
    <row r="117" customFormat="false" ht="18.75" hidden="false" customHeight="true" outlineLevel="0" collapsed="false">
      <c r="A117" s="7" t="s">
        <v>2417</v>
      </c>
      <c r="B117" s="7" t="s">
        <v>2257</v>
      </c>
      <c r="C117" s="7" t="s">
        <v>175</v>
      </c>
      <c r="D117" s="7" t="s">
        <v>2074</v>
      </c>
      <c r="E117" s="7" t="s">
        <v>82</v>
      </c>
      <c r="F117" s="7" t="s">
        <v>83</v>
      </c>
      <c r="G117" s="12" t="n">
        <v>5815.6</v>
      </c>
      <c r="H117" s="12" t="n">
        <v>5815.6</v>
      </c>
      <c r="I117" s="12" t="n">
        <f aca="false">ROUND(H117-G117, 2)</f>
        <v>0</v>
      </c>
      <c r="J117" s="12" t="n">
        <f aca="false">IF(L117="RESOLVED", 0, ABS(I117))</f>
        <v>0</v>
      </c>
      <c r="K117" s="8" t="n">
        <v>39</v>
      </c>
      <c r="L117" s="24" t="s">
        <v>2352</v>
      </c>
    </row>
    <row r="118" customFormat="false" ht="18.75" hidden="false" customHeight="true" outlineLevel="0" collapsed="false">
      <c r="A118" s="4" t="s">
        <v>2418</v>
      </c>
      <c r="B118" s="4" t="s">
        <v>2258</v>
      </c>
      <c r="C118" s="4" t="s">
        <v>180</v>
      </c>
      <c r="D118" s="4" t="s">
        <v>2063</v>
      </c>
      <c r="E118" s="4" t="s">
        <v>82</v>
      </c>
      <c r="F118" s="4" t="s">
        <v>83</v>
      </c>
      <c r="G118" s="10" t="n">
        <v>5941.62</v>
      </c>
      <c r="H118" s="10" t="n">
        <v>5941.62</v>
      </c>
      <c r="I118" s="10" t="n">
        <f aca="false">ROUND(H118-G118, 2)</f>
        <v>0</v>
      </c>
      <c r="J118" s="10" t="n">
        <f aca="false">IF(L118="RESOLVED", 0, ABS(I118))</f>
        <v>0</v>
      </c>
      <c r="K118" s="6" t="n">
        <v>38</v>
      </c>
      <c r="L118" s="24" t="s">
        <v>2352</v>
      </c>
    </row>
    <row r="119" customFormat="false" ht="18.75" hidden="false" customHeight="true" outlineLevel="0" collapsed="false">
      <c r="A119" s="7" t="s">
        <v>2419</v>
      </c>
      <c r="B119" s="7" t="s">
        <v>2259</v>
      </c>
      <c r="C119" s="7" t="s">
        <v>185</v>
      </c>
      <c r="D119" s="7" t="s">
        <v>2067</v>
      </c>
      <c r="E119" s="7" t="s">
        <v>82</v>
      </c>
      <c r="F119" s="7" t="s">
        <v>83</v>
      </c>
      <c r="G119" s="12" t="n">
        <v>6090.67</v>
      </c>
      <c r="H119" s="12" t="n">
        <v>6090.67</v>
      </c>
      <c r="I119" s="12" t="n">
        <f aca="false">ROUND(H119-G119, 2)</f>
        <v>0</v>
      </c>
      <c r="J119" s="12" t="n">
        <f aca="false">IF(L119="RESOLVED", 0, ABS(I119))</f>
        <v>0</v>
      </c>
      <c r="K119" s="8" t="n">
        <v>37</v>
      </c>
      <c r="L119" s="24" t="s">
        <v>2352</v>
      </c>
    </row>
    <row r="120" customFormat="false" ht="18.75" hidden="false" customHeight="true" outlineLevel="0" collapsed="false">
      <c r="A120" s="4" t="s">
        <v>2420</v>
      </c>
      <c r="B120" s="4" t="s">
        <v>2260</v>
      </c>
      <c r="C120" s="4" t="s">
        <v>190</v>
      </c>
      <c r="D120" s="4" t="s">
        <v>2071</v>
      </c>
      <c r="E120" s="4" t="s">
        <v>82</v>
      </c>
      <c r="F120" s="4" t="s">
        <v>83</v>
      </c>
      <c r="G120" s="10" t="n">
        <v>6306.01</v>
      </c>
      <c r="H120" s="10" t="n">
        <v>6306.01</v>
      </c>
      <c r="I120" s="10" t="n">
        <f aca="false">ROUND(H120-G120, 2)</f>
        <v>0</v>
      </c>
      <c r="J120" s="10" t="n">
        <f aca="false">IF(L120="RESOLVED", 0, ABS(I120))</f>
        <v>0</v>
      </c>
      <c r="K120" s="6" t="n">
        <v>36</v>
      </c>
      <c r="L120" s="24" t="s">
        <v>2352</v>
      </c>
    </row>
    <row r="121" customFormat="false" ht="18.75" hidden="false" customHeight="true" outlineLevel="0" collapsed="false">
      <c r="A121" s="7" t="s">
        <v>2421</v>
      </c>
      <c r="B121" s="7" t="s">
        <v>2261</v>
      </c>
      <c r="C121" s="7" t="s">
        <v>195</v>
      </c>
      <c r="D121" s="7" t="s">
        <v>2074</v>
      </c>
      <c r="E121" s="7" t="s">
        <v>82</v>
      </c>
      <c r="F121" s="7" t="s">
        <v>83</v>
      </c>
      <c r="G121" s="12" t="n">
        <v>6480.32</v>
      </c>
      <c r="H121" s="12" t="n">
        <v>6480.32</v>
      </c>
      <c r="I121" s="12" t="n">
        <f aca="false">ROUND(H121-G121, 2)</f>
        <v>0</v>
      </c>
      <c r="J121" s="12" t="n">
        <f aca="false">IF(L121="RESOLVED", 0, ABS(I121))</f>
        <v>0</v>
      </c>
      <c r="K121" s="8" t="n">
        <v>35</v>
      </c>
      <c r="L121" s="24" t="s">
        <v>2352</v>
      </c>
    </row>
    <row r="122" customFormat="false" ht="18.75" hidden="false" customHeight="true" outlineLevel="0" collapsed="false">
      <c r="A122" s="4" t="s">
        <v>2422</v>
      </c>
      <c r="B122" s="4" t="s">
        <v>2262</v>
      </c>
      <c r="C122" s="4" t="s">
        <v>200</v>
      </c>
      <c r="D122" s="4" t="s">
        <v>2063</v>
      </c>
      <c r="E122" s="4" t="s">
        <v>82</v>
      </c>
      <c r="F122" s="4" t="s">
        <v>83</v>
      </c>
      <c r="G122" s="10" t="n">
        <v>6632.65</v>
      </c>
      <c r="H122" s="10" t="n">
        <v>6632.65</v>
      </c>
      <c r="I122" s="10" t="n">
        <f aca="false">ROUND(H122-G122, 2)</f>
        <v>0</v>
      </c>
      <c r="J122" s="10" t="n">
        <f aca="false">IF(L122="RESOLVED", 0, ABS(I122))</f>
        <v>0</v>
      </c>
      <c r="K122" s="6" t="n">
        <v>34</v>
      </c>
      <c r="L122" s="24" t="s">
        <v>2352</v>
      </c>
    </row>
    <row r="123" customFormat="false" ht="18.75" hidden="false" customHeight="true" outlineLevel="0" collapsed="false">
      <c r="A123" s="7" t="s">
        <v>2423</v>
      </c>
      <c r="B123" s="7" t="s">
        <v>2263</v>
      </c>
      <c r="C123" s="7" t="s">
        <v>205</v>
      </c>
      <c r="D123" s="7" t="s">
        <v>2067</v>
      </c>
      <c r="E123" s="7" t="s">
        <v>82</v>
      </c>
      <c r="F123" s="7" t="s">
        <v>83</v>
      </c>
      <c r="G123" s="12" t="n">
        <v>6776.95</v>
      </c>
      <c r="H123" s="12" t="n">
        <v>6776.95</v>
      </c>
      <c r="I123" s="12" t="n">
        <f aca="false">ROUND(H123-G123, 2)</f>
        <v>0</v>
      </c>
      <c r="J123" s="12" t="n">
        <f aca="false">IF(L123="RESOLVED", 0, ABS(I123))</f>
        <v>0</v>
      </c>
      <c r="K123" s="8" t="n">
        <v>33</v>
      </c>
      <c r="L123" s="24" t="s">
        <v>2352</v>
      </c>
    </row>
    <row r="124" customFormat="false" ht="18.75" hidden="false" customHeight="true" outlineLevel="0" collapsed="false">
      <c r="A124" s="4" t="s">
        <v>2424</v>
      </c>
      <c r="B124" s="4" t="s">
        <v>2264</v>
      </c>
      <c r="C124" s="4" t="s">
        <v>210</v>
      </c>
      <c r="D124" s="4" t="s">
        <v>2071</v>
      </c>
      <c r="E124" s="4" t="s">
        <v>82</v>
      </c>
      <c r="F124" s="4" t="s">
        <v>83</v>
      </c>
      <c r="G124" s="10" t="n">
        <v>6993.3</v>
      </c>
      <c r="H124" s="10" t="n">
        <v>6993.3</v>
      </c>
      <c r="I124" s="10" t="n">
        <f aca="false">ROUND(H124-G124, 2)</f>
        <v>0</v>
      </c>
      <c r="J124" s="10" t="n">
        <f aca="false">IF(L124="RESOLVED", 0, ABS(I124))</f>
        <v>0</v>
      </c>
      <c r="K124" s="6" t="n">
        <v>32</v>
      </c>
      <c r="L124" s="24" t="s">
        <v>2352</v>
      </c>
    </row>
    <row r="125" customFormat="false" ht="18.75" hidden="false" customHeight="true" outlineLevel="0" collapsed="false">
      <c r="A125" s="7" t="s">
        <v>2425</v>
      </c>
      <c r="B125" s="7" t="s">
        <v>2265</v>
      </c>
      <c r="C125" s="7" t="s">
        <v>215</v>
      </c>
      <c r="D125" s="7" t="s">
        <v>2074</v>
      </c>
      <c r="E125" s="7" t="s">
        <v>82</v>
      </c>
      <c r="F125" s="7" t="s">
        <v>83</v>
      </c>
      <c r="G125" s="12" t="n">
        <v>7105.52</v>
      </c>
      <c r="H125" s="12" t="n">
        <v>7105.52</v>
      </c>
      <c r="I125" s="12" t="n">
        <f aca="false">ROUND(H125-G125, 2)</f>
        <v>0</v>
      </c>
      <c r="J125" s="12" t="n">
        <f aca="false">IF(L125="RESOLVED", 0, ABS(I125))</f>
        <v>0</v>
      </c>
      <c r="K125" s="8" t="n">
        <v>31</v>
      </c>
      <c r="L125" s="24" t="s">
        <v>2352</v>
      </c>
    </row>
    <row r="126" customFormat="false" ht="18.75" hidden="false" customHeight="true" outlineLevel="0" collapsed="false">
      <c r="A126" s="4" t="s">
        <v>2426</v>
      </c>
      <c r="B126" s="4" t="s">
        <v>2266</v>
      </c>
      <c r="C126" s="4" t="s">
        <v>220</v>
      </c>
      <c r="D126" s="4" t="s">
        <v>2063</v>
      </c>
      <c r="E126" s="4" t="s">
        <v>82</v>
      </c>
      <c r="F126" s="4" t="s">
        <v>83</v>
      </c>
      <c r="G126" s="10" t="n">
        <v>7341.17</v>
      </c>
      <c r="H126" s="10" t="n">
        <v>7341.17</v>
      </c>
      <c r="I126" s="10" t="n">
        <f aca="false">ROUND(H126-G126, 2)</f>
        <v>0</v>
      </c>
      <c r="J126" s="10" t="n">
        <f aca="false">IF(L126="RESOLVED", 0, ABS(I126))</f>
        <v>0</v>
      </c>
      <c r="K126" s="6" t="n">
        <v>30</v>
      </c>
      <c r="L126" s="24" t="s">
        <v>2352</v>
      </c>
    </row>
    <row r="127" customFormat="false" ht="18.75" hidden="false" customHeight="true" outlineLevel="0" collapsed="false">
      <c r="A127" s="7" t="s">
        <v>2427</v>
      </c>
      <c r="B127" s="7" t="s">
        <v>2267</v>
      </c>
      <c r="C127" s="7" t="s">
        <v>99</v>
      </c>
      <c r="D127" s="7" t="s">
        <v>2063</v>
      </c>
      <c r="E127" s="7" t="s">
        <v>82</v>
      </c>
      <c r="F127" s="7" t="s">
        <v>83</v>
      </c>
      <c r="G127" s="12" t="n">
        <v>7483.73</v>
      </c>
      <c r="H127" s="12" t="n">
        <v>7483.73</v>
      </c>
      <c r="I127" s="12" t="n">
        <f aca="false">ROUND(H127-G127, 2)</f>
        <v>0</v>
      </c>
      <c r="J127" s="12" t="n">
        <f aca="false">IF(L127="RESOLVED", 0, ABS(I127))</f>
        <v>0</v>
      </c>
      <c r="K127" s="8" t="n">
        <v>29</v>
      </c>
      <c r="L127" s="24" t="s">
        <v>2352</v>
      </c>
    </row>
    <row r="128" customFormat="false" ht="18.75" hidden="false" customHeight="true" outlineLevel="0" collapsed="false">
      <c r="A128" s="4" t="s">
        <v>2428</v>
      </c>
      <c r="B128" s="4" t="s">
        <v>2268</v>
      </c>
      <c r="C128" s="4" t="s">
        <v>105</v>
      </c>
      <c r="D128" s="4" t="s">
        <v>2067</v>
      </c>
      <c r="E128" s="4" t="s">
        <v>82</v>
      </c>
      <c r="F128" s="4" t="s">
        <v>83</v>
      </c>
      <c r="G128" s="10" t="n">
        <v>7690.84</v>
      </c>
      <c r="H128" s="10" t="n">
        <v>7690.84</v>
      </c>
      <c r="I128" s="10" t="n">
        <f aca="false">ROUND(H128-G128, 2)</f>
        <v>0</v>
      </c>
      <c r="J128" s="10" t="n">
        <f aca="false">IF(L128="RESOLVED", 0, ABS(I128))</f>
        <v>0</v>
      </c>
      <c r="K128" s="6" t="n">
        <v>28</v>
      </c>
      <c r="L128" s="24" t="s">
        <v>2352</v>
      </c>
    </row>
    <row r="129" customFormat="false" ht="18.75" hidden="false" customHeight="true" outlineLevel="0" collapsed="false">
      <c r="A129" s="7" t="s">
        <v>2429</v>
      </c>
      <c r="B129" s="7" t="s">
        <v>2269</v>
      </c>
      <c r="C129" s="7" t="s">
        <v>110</v>
      </c>
      <c r="D129" s="7" t="s">
        <v>2071</v>
      </c>
      <c r="E129" s="7" t="s">
        <v>82</v>
      </c>
      <c r="F129" s="7" t="s">
        <v>83</v>
      </c>
      <c r="G129" s="12" t="n">
        <v>7783.05</v>
      </c>
      <c r="H129" s="12" t="n">
        <v>7783.05</v>
      </c>
      <c r="I129" s="12" t="n">
        <f aca="false">ROUND(H129-G129, 2)</f>
        <v>0</v>
      </c>
      <c r="J129" s="12" t="n">
        <f aca="false">IF(L129="RESOLVED", 0, ABS(I129))</f>
        <v>0</v>
      </c>
      <c r="K129" s="8" t="n">
        <v>27</v>
      </c>
      <c r="L129" s="24" t="s">
        <v>2352</v>
      </c>
    </row>
    <row r="130" customFormat="false" ht="18.75" hidden="false" customHeight="true" outlineLevel="0" collapsed="false">
      <c r="A130" s="4" t="s">
        <v>2430</v>
      </c>
      <c r="B130" s="4" t="s">
        <v>2270</v>
      </c>
      <c r="C130" s="4" t="s">
        <v>115</v>
      </c>
      <c r="D130" s="4" t="s">
        <v>2074</v>
      </c>
      <c r="E130" s="4" t="s">
        <v>82</v>
      </c>
      <c r="F130" s="4" t="s">
        <v>83</v>
      </c>
      <c r="G130" s="10" t="n">
        <v>7996.39</v>
      </c>
      <c r="H130" s="10" t="n">
        <v>7996.39</v>
      </c>
      <c r="I130" s="10" t="n">
        <f aca="false">ROUND(H130-G130, 2)</f>
        <v>0</v>
      </c>
      <c r="J130" s="10" t="n">
        <f aca="false">IF(L130="RESOLVED", 0, ABS(I130))</f>
        <v>0</v>
      </c>
      <c r="K130" s="6" t="n">
        <v>26</v>
      </c>
      <c r="L130" s="24" t="s">
        <v>2352</v>
      </c>
    </row>
    <row r="131" customFormat="false" ht="18.75" hidden="false" customHeight="true" outlineLevel="0" collapsed="false">
      <c r="A131" s="7" t="s">
        <v>2431</v>
      </c>
      <c r="B131" s="7" t="s">
        <v>2271</v>
      </c>
      <c r="C131" s="7" t="s">
        <v>120</v>
      </c>
      <c r="D131" s="7" t="s">
        <v>2063</v>
      </c>
      <c r="E131" s="7" t="s">
        <v>82</v>
      </c>
      <c r="F131" s="7" t="s">
        <v>83</v>
      </c>
      <c r="G131" s="12" t="n">
        <v>8140.91</v>
      </c>
      <c r="H131" s="12" t="n">
        <v>8140.91</v>
      </c>
      <c r="I131" s="12" t="n">
        <f aca="false">ROUND(H131-G131, 2)</f>
        <v>0</v>
      </c>
      <c r="J131" s="12" t="n">
        <f aca="false">IF(L131="RESOLVED", 0, ABS(I131))</f>
        <v>0</v>
      </c>
      <c r="K131" s="8" t="n">
        <v>25</v>
      </c>
      <c r="L131" s="24" t="s">
        <v>2352</v>
      </c>
    </row>
    <row r="132" customFormat="false" ht="18.75" hidden="false" customHeight="true" outlineLevel="0" collapsed="false">
      <c r="A132" s="4" t="s">
        <v>2432</v>
      </c>
      <c r="B132" s="4" t="s">
        <v>2272</v>
      </c>
      <c r="C132" s="4" t="s">
        <v>125</v>
      </c>
      <c r="D132" s="4" t="s">
        <v>2067</v>
      </c>
      <c r="E132" s="4" t="s">
        <v>82</v>
      </c>
      <c r="F132" s="4" t="s">
        <v>83</v>
      </c>
      <c r="G132" s="10" t="n">
        <v>8320.74</v>
      </c>
      <c r="H132" s="10" t="n">
        <v>8320.74</v>
      </c>
      <c r="I132" s="10" t="n">
        <f aca="false">ROUND(H132-G132, 2)</f>
        <v>0</v>
      </c>
      <c r="J132" s="10" t="n">
        <f aca="false">IF(L132="RESOLVED", 0, ABS(I132))</f>
        <v>0</v>
      </c>
      <c r="K132" s="6" t="n">
        <v>24</v>
      </c>
      <c r="L132" s="24" t="s">
        <v>2352</v>
      </c>
    </row>
    <row r="133" customFormat="false" ht="18.75" hidden="false" customHeight="true" outlineLevel="0" collapsed="false">
      <c r="A133" s="7" t="s">
        <v>2433</v>
      </c>
      <c r="B133" s="7" t="s">
        <v>2273</v>
      </c>
      <c r="C133" s="7" t="s">
        <v>130</v>
      </c>
      <c r="D133" s="7" t="s">
        <v>2071</v>
      </c>
      <c r="E133" s="7" t="s">
        <v>82</v>
      </c>
      <c r="F133" s="7" t="s">
        <v>83</v>
      </c>
      <c r="G133" s="12" t="n">
        <v>8530.77</v>
      </c>
      <c r="H133" s="12" t="n">
        <v>8530.77</v>
      </c>
      <c r="I133" s="12" t="n">
        <f aca="false">ROUND(H133-G133, 2)</f>
        <v>0</v>
      </c>
      <c r="J133" s="12" t="n">
        <f aca="false">IF(L133="RESOLVED", 0, ABS(I133))</f>
        <v>0</v>
      </c>
      <c r="K133" s="8" t="n">
        <v>23</v>
      </c>
      <c r="L133" s="24" t="s">
        <v>2352</v>
      </c>
    </row>
    <row r="134" customFormat="false" ht="18.75" hidden="false" customHeight="true" outlineLevel="0" collapsed="false">
      <c r="A134" s="4" t="s">
        <v>2434</v>
      </c>
      <c r="B134" s="4" t="s">
        <v>2274</v>
      </c>
      <c r="C134" s="4" t="s">
        <v>135</v>
      </c>
      <c r="D134" s="4" t="s">
        <v>2074</v>
      </c>
      <c r="E134" s="4" t="s">
        <v>82</v>
      </c>
      <c r="F134" s="4" t="s">
        <v>83</v>
      </c>
      <c r="G134" s="10" t="n">
        <v>8604.54</v>
      </c>
      <c r="H134" s="10" t="n">
        <v>8604.54</v>
      </c>
      <c r="I134" s="10" t="n">
        <f aca="false">ROUND(H134-G134, 2)</f>
        <v>0</v>
      </c>
      <c r="J134" s="10" t="n">
        <f aca="false">IF(L134="RESOLVED", 0, ABS(I134))</f>
        <v>0</v>
      </c>
      <c r="K134" s="6" t="n">
        <v>22</v>
      </c>
      <c r="L134" s="24" t="s">
        <v>2352</v>
      </c>
    </row>
    <row r="135" customFormat="false" ht="18.75" hidden="false" customHeight="true" outlineLevel="0" collapsed="false">
      <c r="A135" s="7" t="s">
        <v>2435</v>
      </c>
      <c r="B135" s="7" t="s">
        <v>2275</v>
      </c>
      <c r="C135" s="7" t="s">
        <v>140</v>
      </c>
      <c r="D135" s="7" t="s">
        <v>2063</v>
      </c>
      <c r="E135" s="7" t="s">
        <v>82</v>
      </c>
      <c r="F135" s="7" t="s">
        <v>83</v>
      </c>
      <c r="G135" s="12" t="n">
        <v>8887.79</v>
      </c>
      <c r="H135" s="12" t="n">
        <v>8887.79</v>
      </c>
      <c r="I135" s="12" t="n">
        <f aca="false">ROUND(H135-G135, 2)</f>
        <v>0</v>
      </c>
      <c r="J135" s="12" t="n">
        <f aca="false">IF(L135="RESOLVED", 0, ABS(I135))</f>
        <v>0</v>
      </c>
      <c r="K135" s="8" t="n">
        <v>21</v>
      </c>
      <c r="L135" s="24" t="s">
        <v>2352</v>
      </c>
    </row>
    <row r="136" customFormat="false" ht="18.75" hidden="false" customHeight="true" outlineLevel="0" collapsed="false">
      <c r="A136" s="4" t="s">
        <v>2436</v>
      </c>
      <c r="B136" s="4" t="s">
        <v>2276</v>
      </c>
      <c r="C136" s="4" t="s">
        <v>145</v>
      </c>
      <c r="D136" s="4" t="s">
        <v>2067</v>
      </c>
      <c r="E136" s="4" t="s">
        <v>82</v>
      </c>
      <c r="F136" s="4" t="s">
        <v>83</v>
      </c>
      <c r="G136" s="10" t="n">
        <v>8974.68</v>
      </c>
      <c r="H136" s="10" t="n">
        <v>8974.68</v>
      </c>
      <c r="I136" s="10" t="n">
        <f aca="false">ROUND(H136-G136, 2)</f>
        <v>0</v>
      </c>
      <c r="J136" s="10" t="n">
        <f aca="false">IF(L136="RESOLVED", 0, ABS(I136))</f>
        <v>0</v>
      </c>
      <c r="K136" s="6" t="n">
        <v>20</v>
      </c>
      <c r="L136" s="24" t="s">
        <v>2352</v>
      </c>
    </row>
    <row r="137" customFormat="false" ht="18.75" hidden="false" customHeight="true" outlineLevel="0" collapsed="false">
      <c r="A137" s="7" t="s">
        <v>2437</v>
      </c>
      <c r="B137" s="7" t="s">
        <v>2277</v>
      </c>
      <c r="C137" s="7" t="s">
        <v>150</v>
      </c>
      <c r="D137" s="7" t="s">
        <v>2071</v>
      </c>
      <c r="E137" s="7" t="s">
        <v>82</v>
      </c>
      <c r="F137" s="7" t="s">
        <v>83</v>
      </c>
      <c r="G137" s="12" t="n">
        <v>9171.35</v>
      </c>
      <c r="H137" s="12" t="n">
        <v>9171.35</v>
      </c>
      <c r="I137" s="12" t="n">
        <f aca="false">ROUND(H137-G137, 2)</f>
        <v>0</v>
      </c>
      <c r="J137" s="12" t="n">
        <f aca="false">IF(L137="RESOLVED", 0, ABS(I137))</f>
        <v>0</v>
      </c>
      <c r="K137" s="8" t="n">
        <v>19</v>
      </c>
      <c r="L137" s="24" t="s">
        <v>2352</v>
      </c>
    </row>
    <row r="138" customFormat="false" ht="18.75" hidden="false" customHeight="true" outlineLevel="0" collapsed="false">
      <c r="A138" s="4" t="s">
        <v>2438</v>
      </c>
      <c r="B138" s="4" t="s">
        <v>2278</v>
      </c>
      <c r="C138" s="4" t="s">
        <v>155</v>
      </c>
      <c r="D138" s="4" t="s">
        <v>2074</v>
      </c>
      <c r="E138" s="4" t="s">
        <v>82</v>
      </c>
      <c r="F138" s="4" t="s">
        <v>83</v>
      </c>
      <c r="G138" s="10" t="n">
        <v>9369.62</v>
      </c>
      <c r="H138" s="10" t="n">
        <v>9369.62</v>
      </c>
      <c r="I138" s="10" t="n">
        <f aca="false">ROUND(H138-G138, 2)</f>
        <v>0</v>
      </c>
      <c r="J138" s="10" t="n">
        <f aca="false">IF(L138="RESOLVED", 0, ABS(I138))</f>
        <v>0</v>
      </c>
      <c r="K138" s="6" t="n">
        <v>18</v>
      </c>
      <c r="L138" s="24" t="s">
        <v>2352</v>
      </c>
    </row>
    <row r="139" customFormat="false" ht="18.75" hidden="false" customHeight="true" outlineLevel="0" collapsed="false">
      <c r="A139" s="7" t="s">
        <v>2439</v>
      </c>
      <c r="B139" s="7" t="s">
        <v>2279</v>
      </c>
      <c r="C139" s="7" t="s">
        <v>160</v>
      </c>
      <c r="D139" s="7" t="s">
        <v>2063</v>
      </c>
      <c r="E139" s="7" t="s">
        <v>82</v>
      </c>
      <c r="F139" s="7" t="s">
        <v>83</v>
      </c>
      <c r="G139" s="12" t="n">
        <v>9497.32</v>
      </c>
      <c r="H139" s="12" t="n">
        <v>9497.32</v>
      </c>
      <c r="I139" s="12" t="n">
        <f aca="false">ROUND(H139-G139, 2)</f>
        <v>0</v>
      </c>
      <c r="J139" s="12" t="n">
        <f aca="false">IF(L139="RESOLVED", 0, ABS(I139))</f>
        <v>0</v>
      </c>
      <c r="K139" s="8" t="n">
        <v>17</v>
      </c>
      <c r="L139" s="24" t="s">
        <v>2352</v>
      </c>
    </row>
    <row r="140" customFormat="false" ht="18.75" hidden="false" customHeight="true" outlineLevel="0" collapsed="false">
      <c r="A140" s="4" t="s">
        <v>2440</v>
      </c>
      <c r="B140" s="4" t="s">
        <v>2280</v>
      </c>
      <c r="C140" s="4" t="s">
        <v>165</v>
      </c>
      <c r="D140" s="4" t="s">
        <v>2067</v>
      </c>
      <c r="E140" s="4" t="s">
        <v>82</v>
      </c>
      <c r="F140" s="4" t="s">
        <v>83</v>
      </c>
      <c r="G140" s="10" t="n">
        <v>9715.11</v>
      </c>
      <c r="H140" s="10" t="n">
        <v>9715.11</v>
      </c>
      <c r="I140" s="10" t="n">
        <f aca="false">ROUND(H140-G140, 2)</f>
        <v>0</v>
      </c>
      <c r="J140" s="10" t="n">
        <f aca="false">IF(L140="RESOLVED", 0, ABS(I140))</f>
        <v>0</v>
      </c>
      <c r="K140" s="6" t="n">
        <v>16</v>
      </c>
      <c r="L140" s="24" t="s">
        <v>2352</v>
      </c>
    </row>
    <row r="141" customFormat="false" ht="18.75" hidden="false" customHeight="true" outlineLevel="0" collapsed="false">
      <c r="A141" s="7" t="s">
        <v>2441</v>
      </c>
      <c r="B141" s="7" t="s">
        <v>2281</v>
      </c>
      <c r="C141" s="7" t="s">
        <v>170</v>
      </c>
      <c r="D141" s="7" t="s">
        <v>2071</v>
      </c>
      <c r="E141" s="7" t="s">
        <v>82</v>
      </c>
      <c r="F141" s="7" t="s">
        <v>83</v>
      </c>
      <c r="G141" s="12" t="n">
        <v>9769.97</v>
      </c>
      <c r="H141" s="12" t="n">
        <v>9769.97</v>
      </c>
      <c r="I141" s="12" t="n">
        <f aca="false">ROUND(H141-G141, 2)</f>
        <v>0</v>
      </c>
      <c r="J141" s="12" t="n">
        <f aca="false">IF(L141="RESOLVED", 0, ABS(I141))</f>
        <v>0</v>
      </c>
      <c r="K141" s="8" t="n">
        <v>15</v>
      </c>
      <c r="L141" s="24" t="s">
        <v>2352</v>
      </c>
    </row>
    <row r="142" customFormat="false" ht="18.75" hidden="false" customHeight="true" outlineLevel="0" collapsed="false">
      <c r="A142" s="4" t="s">
        <v>2442</v>
      </c>
      <c r="B142" s="4" t="s">
        <v>2282</v>
      </c>
      <c r="C142" s="4" t="s">
        <v>175</v>
      </c>
      <c r="D142" s="4" t="s">
        <v>2074</v>
      </c>
      <c r="E142" s="4" t="s">
        <v>82</v>
      </c>
      <c r="F142" s="4" t="s">
        <v>83</v>
      </c>
      <c r="G142" s="10" t="n">
        <v>10066.84</v>
      </c>
      <c r="H142" s="10" t="n">
        <v>10066.84</v>
      </c>
      <c r="I142" s="10" t="n">
        <f aca="false">ROUND(H142-G142, 2)</f>
        <v>0</v>
      </c>
      <c r="J142" s="10" t="n">
        <f aca="false">IF(L142="RESOLVED", 0, ABS(I142))</f>
        <v>0</v>
      </c>
      <c r="K142" s="6" t="n">
        <v>14</v>
      </c>
      <c r="L142" s="24" t="s">
        <v>2352</v>
      </c>
    </row>
    <row r="143" customFormat="false" ht="18.75" hidden="false" customHeight="true" outlineLevel="0" collapsed="false">
      <c r="A143" s="7" t="s">
        <v>2443</v>
      </c>
      <c r="B143" s="7" t="s">
        <v>2283</v>
      </c>
      <c r="C143" s="7" t="s">
        <v>180</v>
      </c>
      <c r="D143" s="7" t="s">
        <v>2063</v>
      </c>
      <c r="E143" s="7" t="s">
        <v>82</v>
      </c>
      <c r="F143" s="7" t="s">
        <v>83</v>
      </c>
      <c r="G143" s="12" t="n">
        <v>10161.26</v>
      </c>
      <c r="H143" s="12" t="n">
        <v>10161.26</v>
      </c>
      <c r="I143" s="12" t="n">
        <f aca="false">ROUND(H143-G143, 2)</f>
        <v>0</v>
      </c>
      <c r="J143" s="12" t="n">
        <f aca="false">IF(L143="RESOLVED", 0, ABS(I143))</f>
        <v>0</v>
      </c>
      <c r="K143" s="8" t="n">
        <v>13</v>
      </c>
      <c r="L143" s="24" t="s">
        <v>2352</v>
      </c>
    </row>
    <row r="144" customFormat="false" ht="18.75" hidden="false" customHeight="true" outlineLevel="0" collapsed="false">
      <c r="A144" s="4" t="s">
        <v>2444</v>
      </c>
      <c r="B144" s="4" t="s">
        <v>2284</v>
      </c>
      <c r="C144" s="4" t="s">
        <v>185</v>
      </c>
      <c r="D144" s="4" t="s">
        <v>2067</v>
      </c>
      <c r="E144" s="4" t="s">
        <v>82</v>
      </c>
      <c r="F144" s="4" t="s">
        <v>83</v>
      </c>
      <c r="G144" s="10" t="n">
        <v>10298.53</v>
      </c>
      <c r="H144" s="10" t="n">
        <v>10298.53</v>
      </c>
      <c r="I144" s="10" t="n">
        <f aca="false">ROUND(H144-G144, 2)</f>
        <v>0</v>
      </c>
      <c r="J144" s="10" t="n">
        <f aca="false">IF(L144="RESOLVED", 0, ABS(I144))</f>
        <v>0</v>
      </c>
      <c r="K144" s="6" t="n">
        <v>12</v>
      </c>
      <c r="L144" s="24" t="s">
        <v>2352</v>
      </c>
    </row>
    <row r="145" customFormat="false" ht="18.75" hidden="false" customHeight="true" outlineLevel="0" collapsed="false">
      <c r="A145" s="7" t="s">
        <v>2445</v>
      </c>
      <c r="B145" s="7" t="s">
        <v>2285</v>
      </c>
      <c r="C145" s="7" t="s">
        <v>190</v>
      </c>
      <c r="D145" s="7" t="s">
        <v>2071</v>
      </c>
      <c r="E145" s="7" t="s">
        <v>82</v>
      </c>
      <c r="F145" s="7" t="s">
        <v>83</v>
      </c>
      <c r="G145" s="12" t="n">
        <v>10544.5</v>
      </c>
      <c r="H145" s="12" t="n">
        <v>10544.5</v>
      </c>
      <c r="I145" s="12" t="n">
        <f aca="false">ROUND(H145-G145, 2)</f>
        <v>0</v>
      </c>
      <c r="J145" s="12" t="n">
        <f aca="false">IF(L145="RESOLVED", 0, ABS(I145))</f>
        <v>0</v>
      </c>
      <c r="K145" s="8" t="n">
        <v>11</v>
      </c>
      <c r="L145" s="24" t="s">
        <v>2352</v>
      </c>
    </row>
    <row r="146" customFormat="false" ht="18.75" hidden="false" customHeight="true" outlineLevel="0" collapsed="false">
      <c r="A146" s="4" t="s">
        <v>2446</v>
      </c>
      <c r="B146" s="4" t="s">
        <v>2286</v>
      </c>
      <c r="C146" s="4" t="s">
        <v>195</v>
      </c>
      <c r="D146" s="4" t="s">
        <v>2074</v>
      </c>
      <c r="E146" s="4" t="s">
        <v>82</v>
      </c>
      <c r="F146" s="4" t="s">
        <v>83</v>
      </c>
      <c r="G146" s="10" t="n">
        <v>10720.37</v>
      </c>
      <c r="H146" s="10" t="n">
        <v>10720.37</v>
      </c>
      <c r="I146" s="10" t="n">
        <f aca="false">ROUND(H146-G146, 2)</f>
        <v>0</v>
      </c>
      <c r="J146" s="10" t="n">
        <f aca="false">IF(L146="RESOLVED", 0, ABS(I146))</f>
        <v>0</v>
      </c>
      <c r="K146" s="6" t="n">
        <v>10</v>
      </c>
      <c r="L146" s="24" t="s">
        <v>2352</v>
      </c>
    </row>
    <row r="147" customFormat="false" ht="18.75" hidden="false" customHeight="true" outlineLevel="0" collapsed="false">
      <c r="A147" s="7" t="s">
        <v>2447</v>
      </c>
      <c r="B147" s="7" t="s">
        <v>2287</v>
      </c>
      <c r="C147" s="7" t="s">
        <v>200</v>
      </c>
      <c r="D147" s="7" t="s">
        <v>2063</v>
      </c>
      <c r="E147" s="7" t="s">
        <v>82</v>
      </c>
      <c r="F147" s="7" t="s">
        <v>83</v>
      </c>
      <c r="G147" s="12" t="n">
        <v>10863.49</v>
      </c>
      <c r="H147" s="12" t="n">
        <v>10863.49</v>
      </c>
      <c r="I147" s="12" t="n">
        <f aca="false">ROUND(H147-G147, 2)</f>
        <v>0</v>
      </c>
      <c r="J147" s="12" t="n">
        <f aca="false">IF(L147="RESOLVED", 0, ABS(I147))</f>
        <v>0</v>
      </c>
      <c r="K147" s="8" t="n">
        <v>9</v>
      </c>
      <c r="L147" s="24" t="s">
        <v>2352</v>
      </c>
    </row>
    <row r="148" customFormat="false" ht="18.75" hidden="false" customHeight="true" outlineLevel="0" collapsed="false">
      <c r="A148" s="4" t="s">
        <v>2448</v>
      </c>
      <c r="B148" s="4" t="s">
        <v>2288</v>
      </c>
      <c r="C148" s="4" t="s">
        <v>205</v>
      </c>
      <c r="D148" s="4" t="s">
        <v>2067</v>
      </c>
      <c r="E148" s="4" t="s">
        <v>82</v>
      </c>
      <c r="F148" s="4" t="s">
        <v>83</v>
      </c>
      <c r="G148" s="10" t="n">
        <v>10992.46</v>
      </c>
      <c r="H148" s="10" t="n">
        <v>10992.46</v>
      </c>
      <c r="I148" s="10" t="n">
        <f aca="false">ROUND(H148-G148, 2)</f>
        <v>0</v>
      </c>
      <c r="J148" s="10" t="n">
        <f aca="false">IF(L148="RESOLVED", 0, ABS(I148))</f>
        <v>0</v>
      </c>
      <c r="K148" s="6" t="n">
        <v>8</v>
      </c>
      <c r="L148" s="24" t="s">
        <v>2352</v>
      </c>
    </row>
    <row r="149" customFormat="false" ht="18.75" hidden="false" customHeight="true" outlineLevel="0" collapsed="false">
      <c r="A149" s="7" t="s">
        <v>2449</v>
      </c>
      <c r="B149" s="7" t="s">
        <v>2289</v>
      </c>
      <c r="C149" s="7" t="s">
        <v>210</v>
      </c>
      <c r="D149" s="7" t="s">
        <v>2071</v>
      </c>
      <c r="E149" s="7" t="s">
        <v>82</v>
      </c>
      <c r="F149" s="7" t="s">
        <v>83</v>
      </c>
      <c r="G149" s="12" t="n">
        <v>11236.88</v>
      </c>
      <c r="H149" s="12" t="n">
        <v>11236.88</v>
      </c>
      <c r="I149" s="12" t="n">
        <f aca="false">ROUND(H149-G149, 2)</f>
        <v>0</v>
      </c>
      <c r="J149" s="12" t="n">
        <f aca="false">IF(L149="RESOLVED", 0, ABS(I149))</f>
        <v>0</v>
      </c>
      <c r="K149" s="8" t="n">
        <v>7</v>
      </c>
      <c r="L149" s="24" t="s">
        <v>2352</v>
      </c>
    </row>
    <row r="150" customFormat="false" ht="18.75" hidden="false" customHeight="true" outlineLevel="0" collapsed="false">
      <c r="A150" s="4" t="s">
        <v>2450</v>
      </c>
      <c r="B150" s="4" t="s">
        <v>2290</v>
      </c>
      <c r="C150" s="4" t="s">
        <v>215</v>
      </c>
      <c r="D150" s="4" t="s">
        <v>2074</v>
      </c>
      <c r="E150" s="4" t="s">
        <v>82</v>
      </c>
      <c r="F150" s="4" t="s">
        <v>83</v>
      </c>
      <c r="G150" s="10" t="n">
        <v>11314.97</v>
      </c>
      <c r="H150" s="10" t="n">
        <v>11314.97</v>
      </c>
      <c r="I150" s="10" t="n">
        <f aca="false">ROUND(H150-G150, 2)</f>
        <v>0</v>
      </c>
      <c r="J150" s="10" t="n">
        <f aca="false">IF(L150="RESOLVED", 0, ABS(I150))</f>
        <v>0</v>
      </c>
      <c r="K150" s="6" t="n">
        <v>6</v>
      </c>
      <c r="L150" s="24" t="s">
        <v>2352</v>
      </c>
    </row>
    <row r="151" customFormat="false" ht="18.75" hidden="false" customHeight="true" outlineLevel="0" collapsed="false">
      <c r="A151" s="7" t="s">
        <v>2451</v>
      </c>
      <c r="B151" s="7" t="s">
        <v>2291</v>
      </c>
      <c r="C151" s="7" t="s">
        <v>220</v>
      </c>
      <c r="D151" s="7" t="s">
        <v>2063</v>
      </c>
      <c r="E151" s="7" t="s">
        <v>82</v>
      </c>
      <c r="F151" s="7" t="s">
        <v>83</v>
      </c>
      <c r="G151" s="12" t="n">
        <v>11589.86</v>
      </c>
      <c r="H151" s="12" t="n">
        <v>11589.86</v>
      </c>
      <c r="I151" s="12" t="n">
        <f aca="false">ROUND(H151-G151, 2)</f>
        <v>0</v>
      </c>
      <c r="J151" s="12" t="n">
        <f aca="false">IF(L151="RESOLVED", 0, ABS(I151))</f>
        <v>0</v>
      </c>
      <c r="K151" s="8" t="n">
        <v>5</v>
      </c>
      <c r="L151" s="24" t="s">
        <v>2352</v>
      </c>
    </row>
    <row r="152" customFormat="false" ht="18.75" hidden="false" customHeight="true" outlineLevel="0" collapsed="false">
      <c r="A152" s="4" t="s">
        <v>2452</v>
      </c>
      <c r="B152" s="4" t="s">
        <v>2453</v>
      </c>
      <c r="C152" s="4" t="s">
        <v>99</v>
      </c>
      <c r="D152" s="4" t="s">
        <v>2063</v>
      </c>
      <c r="E152" s="4" t="s">
        <v>82</v>
      </c>
      <c r="F152" s="4" t="s">
        <v>83</v>
      </c>
      <c r="G152" s="10" t="n">
        <v>11717.1</v>
      </c>
      <c r="H152" s="10" t="n">
        <v>11717.1</v>
      </c>
      <c r="I152" s="10" t="n">
        <f aca="false">ROUND(H152-G152, 2)</f>
        <v>0</v>
      </c>
      <c r="J152" s="10" t="n">
        <f aca="false">IF(L152="RESOLVED", 0, ABS(I152))</f>
        <v>0</v>
      </c>
      <c r="K152" s="6" t="n">
        <v>54</v>
      </c>
      <c r="L152" s="24" t="s">
        <v>2352</v>
      </c>
    </row>
    <row r="153" customFormat="false" ht="18.75" hidden="false" customHeight="true" outlineLevel="0" collapsed="false">
      <c r="A153" s="7" t="s">
        <v>2454</v>
      </c>
      <c r="B153" s="7" t="s">
        <v>2455</v>
      </c>
      <c r="C153" s="7" t="s">
        <v>105</v>
      </c>
      <c r="D153" s="7" t="s">
        <v>2067</v>
      </c>
      <c r="E153" s="7" t="s">
        <v>82</v>
      </c>
      <c r="F153" s="7" t="s">
        <v>83</v>
      </c>
      <c r="G153" s="12" t="n">
        <v>11943.65</v>
      </c>
      <c r="H153" s="12" t="n">
        <v>11943.65</v>
      </c>
      <c r="I153" s="12" t="n">
        <f aca="false">ROUND(H153-G153, 2)</f>
        <v>0</v>
      </c>
      <c r="J153" s="12" t="n">
        <f aca="false">IF(L153="RESOLVED", 0, ABS(I153))</f>
        <v>0</v>
      </c>
      <c r="K153" s="8" t="n">
        <v>53</v>
      </c>
      <c r="L153" s="24" t="s">
        <v>2352</v>
      </c>
    </row>
    <row r="154" customFormat="false" ht="18.75" hidden="false" customHeight="true" outlineLevel="0" collapsed="false">
      <c r="A154" s="4" t="s">
        <v>2456</v>
      </c>
      <c r="B154" s="4" t="s">
        <v>2457</v>
      </c>
      <c r="C154" s="4" t="s">
        <v>110</v>
      </c>
      <c r="D154" s="4" t="s">
        <v>2071</v>
      </c>
      <c r="E154" s="4" t="s">
        <v>82</v>
      </c>
      <c r="F154" s="4" t="s">
        <v>83</v>
      </c>
      <c r="G154" s="10" t="n">
        <v>11996.01</v>
      </c>
      <c r="H154" s="10" t="n">
        <v>11996.01</v>
      </c>
      <c r="I154" s="10" t="n">
        <f aca="false">ROUND(H154-G154, 2)</f>
        <v>0</v>
      </c>
      <c r="J154" s="10" t="n">
        <f aca="false">IF(L154="RESOLVED", 0, ABS(I154))</f>
        <v>0</v>
      </c>
      <c r="K154" s="6" t="n">
        <v>52</v>
      </c>
      <c r="L154" s="24" t="s">
        <v>2352</v>
      </c>
    </row>
    <row r="155" customFormat="false" ht="18.75" hidden="false" customHeight="true" outlineLevel="0" collapsed="false">
      <c r="A155" s="7" t="s">
        <v>2458</v>
      </c>
      <c r="B155" s="7" t="s">
        <v>2459</v>
      </c>
      <c r="C155" s="7" t="s">
        <v>115</v>
      </c>
      <c r="D155" s="7" t="s">
        <v>2074</v>
      </c>
      <c r="E155" s="7" t="s">
        <v>82</v>
      </c>
      <c r="F155" s="7" t="s">
        <v>83</v>
      </c>
      <c r="G155" s="12" t="n">
        <v>12232.33</v>
      </c>
      <c r="H155" s="12" t="n">
        <v>12232.33</v>
      </c>
      <c r="I155" s="12" t="n">
        <f aca="false">ROUND(H155-G155, 2)</f>
        <v>0</v>
      </c>
      <c r="J155" s="12" t="n">
        <f aca="false">IF(L155="RESOLVED", 0, ABS(I155))</f>
        <v>0</v>
      </c>
      <c r="K155" s="8" t="n">
        <v>51</v>
      </c>
      <c r="L155" s="24" t="s">
        <v>2352</v>
      </c>
    </row>
    <row r="156" customFormat="false" ht="18.75" hidden="false" customHeight="true" outlineLevel="0" collapsed="false">
      <c r="A156" s="4" t="s">
        <v>2460</v>
      </c>
      <c r="B156" s="4" t="s">
        <v>2461</v>
      </c>
      <c r="C156" s="4" t="s">
        <v>120</v>
      </c>
      <c r="D156" s="4" t="s">
        <v>2063</v>
      </c>
      <c r="E156" s="4" t="s">
        <v>82</v>
      </c>
      <c r="F156" s="4" t="s">
        <v>83</v>
      </c>
      <c r="G156" s="10" t="n">
        <v>12364.08</v>
      </c>
      <c r="H156" s="10" t="n">
        <v>12364.08</v>
      </c>
      <c r="I156" s="10" t="n">
        <f aca="false">ROUND(H156-G156, 2)</f>
        <v>0</v>
      </c>
      <c r="J156" s="10" t="n">
        <f aca="false">IF(L156="RESOLVED", 0, ABS(I156))</f>
        <v>0</v>
      </c>
      <c r="K156" s="6" t="n">
        <v>50</v>
      </c>
      <c r="L156" s="24" t="s">
        <v>2352</v>
      </c>
    </row>
    <row r="157" customFormat="false" ht="18.75" hidden="false" customHeight="true" outlineLevel="0" collapsed="false">
      <c r="A157" s="7" t="s">
        <v>2462</v>
      </c>
      <c r="B157" s="7" t="s">
        <v>2463</v>
      </c>
      <c r="C157" s="7" t="s">
        <v>125</v>
      </c>
      <c r="D157" s="7" t="s">
        <v>2067</v>
      </c>
      <c r="E157" s="7" t="s">
        <v>82</v>
      </c>
      <c r="F157" s="7" t="s">
        <v>83</v>
      </c>
      <c r="G157" s="12" t="n">
        <v>12548.04</v>
      </c>
      <c r="H157" s="12" t="n">
        <v>12548.04</v>
      </c>
      <c r="I157" s="12" t="n">
        <f aca="false">ROUND(H157-G157, 2)</f>
        <v>0</v>
      </c>
      <c r="J157" s="12" t="n">
        <f aca="false">IF(L157="RESOLVED", 0, ABS(I157))</f>
        <v>0</v>
      </c>
      <c r="K157" s="8" t="n">
        <v>49</v>
      </c>
      <c r="L157" s="24" t="s">
        <v>2352</v>
      </c>
    </row>
    <row r="158" customFormat="false" ht="18.75" hidden="false" customHeight="true" outlineLevel="0" collapsed="false">
      <c r="A158" s="4" t="s">
        <v>2464</v>
      </c>
      <c r="B158" s="4" t="s">
        <v>2465</v>
      </c>
      <c r="C158" s="4" t="s">
        <v>130</v>
      </c>
      <c r="D158" s="4" t="s">
        <v>2071</v>
      </c>
      <c r="E158" s="4" t="s">
        <v>82</v>
      </c>
      <c r="F158" s="4" t="s">
        <v>83</v>
      </c>
      <c r="G158" s="10" t="n">
        <v>12779.46</v>
      </c>
      <c r="H158" s="10" t="n">
        <v>12779.46</v>
      </c>
      <c r="I158" s="10" t="n">
        <f aca="false">ROUND(H158-G158, 2)</f>
        <v>0</v>
      </c>
      <c r="J158" s="10" t="n">
        <f aca="false">IF(L158="RESOLVED", 0, ABS(I158))</f>
        <v>0</v>
      </c>
      <c r="K158" s="6" t="n">
        <v>48</v>
      </c>
      <c r="L158" s="24" t="s">
        <v>2352</v>
      </c>
    </row>
    <row r="159" customFormat="false" ht="18.75" hidden="false" customHeight="true" outlineLevel="0" collapsed="false">
      <c r="A159" s="7" t="s">
        <v>2466</v>
      </c>
      <c r="B159" s="7" t="s">
        <v>2467</v>
      </c>
      <c r="C159" s="7" t="s">
        <v>135</v>
      </c>
      <c r="D159" s="7" t="s">
        <v>2074</v>
      </c>
      <c r="E159" s="7" t="s">
        <v>82</v>
      </c>
      <c r="F159" s="7" t="s">
        <v>83</v>
      </c>
      <c r="G159" s="12" t="n">
        <v>12807.29</v>
      </c>
      <c r="H159" s="12" t="n">
        <v>12807.29</v>
      </c>
      <c r="I159" s="12" t="n">
        <f aca="false">ROUND(H159-G159, 2)</f>
        <v>0</v>
      </c>
      <c r="J159" s="12" t="n">
        <f aca="false">IF(L159="RESOLVED", 0, ABS(I159))</f>
        <v>0</v>
      </c>
      <c r="K159" s="8" t="n">
        <v>47</v>
      </c>
      <c r="L159" s="24" t="s">
        <v>2352</v>
      </c>
    </row>
    <row r="160" customFormat="false" ht="18.75" hidden="false" customHeight="true" outlineLevel="0" collapsed="false">
      <c r="A160" s="4" t="s">
        <v>2468</v>
      </c>
      <c r="B160" s="4" t="s">
        <v>2469</v>
      </c>
      <c r="C160" s="4" t="s">
        <v>140</v>
      </c>
      <c r="D160" s="4" t="s">
        <v>2063</v>
      </c>
      <c r="E160" s="4" t="s">
        <v>82</v>
      </c>
      <c r="F160" s="4" t="s">
        <v>83</v>
      </c>
      <c r="G160" s="10" t="n">
        <v>13143.15</v>
      </c>
      <c r="H160" s="10" t="n">
        <v>13143.15</v>
      </c>
      <c r="I160" s="10" t="n">
        <f aca="false">ROUND(H160-G160, 2)</f>
        <v>0</v>
      </c>
      <c r="J160" s="10" t="n">
        <f aca="false">IF(L160="RESOLVED", 0, ABS(I160))</f>
        <v>0</v>
      </c>
      <c r="K160" s="6" t="n">
        <v>46</v>
      </c>
      <c r="L160" s="24" t="s">
        <v>2352</v>
      </c>
    </row>
    <row r="161" customFormat="false" ht="18.75" hidden="false" customHeight="true" outlineLevel="0" collapsed="false">
      <c r="A161" s="7" t="s">
        <v>2470</v>
      </c>
      <c r="B161" s="7" t="s">
        <v>2471</v>
      </c>
      <c r="C161" s="7" t="s">
        <v>145</v>
      </c>
      <c r="D161" s="7" t="s">
        <v>2067</v>
      </c>
      <c r="E161" s="7" t="s">
        <v>82</v>
      </c>
      <c r="F161" s="7" t="s">
        <v>83</v>
      </c>
      <c r="G161" s="12" t="n">
        <v>13192.75</v>
      </c>
      <c r="H161" s="12" t="n">
        <v>13192.75</v>
      </c>
      <c r="I161" s="12" t="n">
        <f aca="false">ROUND(H161-G161, 2)</f>
        <v>0</v>
      </c>
      <c r="J161" s="12" t="n">
        <f aca="false">IF(L161="RESOLVED", 0, ABS(I161))</f>
        <v>0</v>
      </c>
      <c r="K161" s="8" t="n">
        <v>45</v>
      </c>
      <c r="L161" s="24" t="s">
        <v>2352</v>
      </c>
    </row>
    <row r="162" customFormat="false" ht="18.75" hidden="false" customHeight="true" outlineLevel="0" collapsed="false">
      <c r="A162" s="4" t="s">
        <v>2472</v>
      </c>
      <c r="B162" s="4" t="s">
        <v>2473</v>
      </c>
      <c r="C162" s="4" t="s">
        <v>150</v>
      </c>
      <c r="D162" s="4" t="s">
        <v>2071</v>
      </c>
      <c r="E162" s="4" t="s">
        <v>84</v>
      </c>
      <c r="F162" s="4" t="s">
        <v>83</v>
      </c>
      <c r="G162" s="10" t="n">
        <v>13402.18</v>
      </c>
      <c r="H162" s="10" t="n">
        <v>13402.18</v>
      </c>
      <c r="I162" s="10" t="n">
        <f aca="false">ROUND(H162-G162, 2)</f>
        <v>0</v>
      </c>
      <c r="J162" s="10" t="n">
        <f aca="false">IF(L162="RESOLVED", 0, ABS(I162))</f>
        <v>0</v>
      </c>
      <c r="K162" s="6" t="n">
        <v>44</v>
      </c>
      <c r="L162" s="24" t="s">
        <v>2352</v>
      </c>
    </row>
    <row r="163" customFormat="false" ht="18.75" hidden="false" customHeight="true" outlineLevel="0" collapsed="false">
      <c r="A163" s="7" t="s">
        <v>2474</v>
      </c>
      <c r="B163" s="7" t="s">
        <v>2475</v>
      </c>
      <c r="C163" s="7" t="s">
        <v>155</v>
      </c>
      <c r="D163" s="7" t="s">
        <v>2074</v>
      </c>
      <c r="E163" s="7" t="s">
        <v>84</v>
      </c>
      <c r="F163" s="7" t="s">
        <v>83</v>
      </c>
      <c r="G163" s="12" t="n">
        <v>13613.21</v>
      </c>
      <c r="H163" s="12" t="n">
        <v>13613.21</v>
      </c>
      <c r="I163" s="12" t="n">
        <f aca="false">ROUND(H163-G163, 2)</f>
        <v>0</v>
      </c>
      <c r="J163" s="12" t="n">
        <f aca="false">IF(L163="RESOLVED", 0, ABS(I163))</f>
        <v>0</v>
      </c>
      <c r="K163" s="8" t="n">
        <v>43</v>
      </c>
      <c r="L163" s="24" t="s">
        <v>2352</v>
      </c>
    </row>
    <row r="164" customFormat="false" ht="18.75" hidden="false" customHeight="true" outlineLevel="0" collapsed="false">
      <c r="A164" s="4" t="s">
        <v>2476</v>
      </c>
      <c r="B164" s="4" t="s">
        <v>2477</v>
      </c>
      <c r="C164" s="4" t="s">
        <v>160</v>
      </c>
      <c r="D164" s="4" t="s">
        <v>2063</v>
      </c>
      <c r="E164" s="4" t="s">
        <v>84</v>
      </c>
      <c r="F164" s="4" t="s">
        <v>83</v>
      </c>
      <c r="G164" s="10" t="n">
        <v>13723.05</v>
      </c>
      <c r="H164" s="10" t="n">
        <v>13723.05</v>
      </c>
      <c r="I164" s="10" t="n">
        <f aca="false">ROUND(H164-G164, 2)</f>
        <v>0</v>
      </c>
      <c r="J164" s="10" t="n">
        <f aca="false">IF(L164="RESOLVED", 0, ABS(I164))</f>
        <v>0</v>
      </c>
      <c r="K164" s="6" t="n">
        <v>42</v>
      </c>
      <c r="L164" s="24" t="s">
        <v>2352</v>
      </c>
    </row>
    <row r="165" customFormat="false" ht="18.75" hidden="false" customHeight="true" outlineLevel="0" collapsed="false">
      <c r="A165" s="7" t="s">
        <v>2478</v>
      </c>
      <c r="B165" s="7" t="s">
        <v>2479</v>
      </c>
      <c r="C165" s="7" t="s">
        <v>165</v>
      </c>
      <c r="D165" s="7" t="s">
        <v>2067</v>
      </c>
      <c r="E165" s="7" t="s">
        <v>84</v>
      </c>
      <c r="F165" s="7" t="s">
        <v>83</v>
      </c>
      <c r="G165" s="12" t="n">
        <v>13961.25</v>
      </c>
      <c r="H165" s="12" t="n">
        <v>13961.25</v>
      </c>
      <c r="I165" s="12" t="n">
        <f aca="false">ROUND(H165-G165, 2)</f>
        <v>0</v>
      </c>
      <c r="J165" s="12" t="n">
        <f aca="false">IF(L165="RESOLVED", 0, ABS(I165))</f>
        <v>0</v>
      </c>
      <c r="K165" s="8" t="n">
        <v>41</v>
      </c>
      <c r="L165" s="24" t="s">
        <v>2352</v>
      </c>
    </row>
    <row r="166" customFormat="false" ht="18.75" hidden="false" customHeight="true" outlineLevel="0" collapsed="false">
      <c r="A166" s="4" t="s">
        <v>2480</v>
      </c>
      <c r="B166" s="4" t="s">
        <v>2481</v>
      </c>
      <c r="C166" s="4" t="s">
        <v>170</v>
      </c>
      <c r="D166" s="4" t="s">
        <v>2071</v>
      </c>
      <c r="E166" s="4" t="s">
        <v>84</v>
      </c>
      <c r="F166" s="4" t="s">
        <v>83</v>
      </c>
      <c r="G166" s="10" t="n">
        <v>13967.63</v>
      </c>
      <c r="H166" s="10" t="n">
        <v>13967.63</v>
      </c>
      <c r="I166" s="10" t="n">
        <f aca="false">ROUND(H166-G166, 2)</f>
        <v>0</v>
      </c>
      <c r="J166" s="10" t="n">
        <f aca="false">IF(L166="RESOLVED", 0, ABS(I166))</f>
        <v>0</v>
      </c>
      <c r="K166" s="6" t="n">
        <v>40</v>
      </c>
      <c r="L166" s="24" t="s">
        <v>2352</v>
      </c>
    </row>
    <row r="167" customFormat="false" ht="18.75" hidden="false" customHeight="true" outlineLevel="0" collapsed="false">
      <c r="A167" s="7" t="s">
        <v>2482</v>
      </c>
      <c r="B167" s="7" t="s">
        <v>2483</v>
      </c>
      <c r="C167" s="7" t="s">
        <v>175</v>
      </c>
      <c r="D167" s="7" t="s">
        <v>2074</v>
      </c>
      <c r="E167" s="7" t="s">
        <v>84</v>
      </c>
      <c r="F167" s="7" t="s">
        <v>83</v>
      </c>
      <c r="G167" s="12" t="n">
        <v>14317.11</v>
      </c>
      <c r="H167" s="12" t="n">
        <v>14317.11</v>
      </c>
      <c r="I167" s="12" t="n">
        <f aca="false">ROUND(H167-G167, 2)</f>
        <v>0</v>
      </c>
      <c r="J167" s="12" t="n">
        <f aca="false">IF(L167="RESOLVED", 0, ABS(I167))</f>
        <v>0</v>
      </c>
      <c r="K167" s="8" t="n">
        <v>39</v>
      </c>
      <c r="L167" s="24" t="s">
        <v>2352</v>
      </c>
    </row>
    <row r="168" customFormat="false" ht="18.75" hidden="false" customHeight="true" outlineLevel="0" collapsed="false">
      <c r="A168" s="4" t="s">
        <v>2484</v>
      </c>
      <c r="B168" s="4" t="s">
        <v>2485</v>
      </c>
      <c r="C168" s="4" t="s">
        <v>180</v>
      </c>
      <c r="D168" s="4" t="s">
        <v>2063</v>
      </c>
      <c r="E168" s="4" t="s">
        <v>84</v>
      </c>
      <c r="F168" s="4" t="s">
        <v>83</v>
      </c>
      <c r="G168" s="10" t="n">
        <v>14381.88</v>
      </c>
      <c r="H168" s="10" t="n">
        <v>14381.88</v>
      </c>
      <c r="I168" s="10" t="n">
        <f aca="false">ROUND(H168-G168, 2)</f>
        <v>0</v>
      </c>
      <c r="J168" s="10" t="n">
        <f aca="false">IF(L168="RESOLVED", 0, ABS(I168))</f>
        <v>0</v>
      </c>
      <c r="K168" s="6" t="n">
        <v>38</v>
      </c>
      <c r="L168" s="24" t="s">
        <v>2352</v>
      </c>
    </row>
    <row r="169" customFormat="false" ht="18.75" hidden="false" customHeight="true" outlineLevel="0" collapsed="false">
      <c r="A169" s="7" t="s">
        <v>2486</v>
      </c>
      <c r="B169" s="7" t="s">
        <v>2487</v>
      </c>
      <c r="C169" s="7" t="s">
        <v>185</v>
      </c>
      <c r="D169" s="7" t="s">
        <v>2067</v>
      </c>
      <c r="E169" s="7" t="s">
        <v>84</v>
      </c>
      <c r="F169" s="7" t="s">
        <v>83</v>
      </c>
      <c r="G169" s="12" t="n">
        <v>14506.39</v>
      </c>
      <c r="H169" s="12" t="n">
        <v>14506.39</v>
      </c>
      <c r="I169" s="12" t="n">
        <f aca="false">ROUND(H169-G169, 2)</f>
        <v>0</v>
      </c>
      <c r="J169" s="12" t="n">
        <f aca="false">IF(L169="RESOLVED", 0, ABS(I169))</f>
        <v>0</v>
      </c>
      <c r="K169" s="8" t="n">
        <v>37</v>
      </c>
      <c r="L169" s="24" t="s">
        <v>2352</v>
      </c>
    </row>
    <row r="170" customFormat="false" ht="18.75" hidden="false" customHeight="true" outlineLevel="0" collapsed="false">
      <c r="A170" s="4" t="s">
        <v>2488</v>
      </c>
      <c r="B170" s="4" t="s">
        <v>2489</v>
      </c>
      <c r="C170" s="4" t="s">
        <v>190</v>
      </c>
      <c r="D170" s="4" t="s">
        <v>2071</v>
      </c>
      <c r="E170" s="4" t="s">
        <v>84</v>
      </c>
      <c r="F170" s="4" t="s">
        <v>83</v>
      </c>
      <c r="G170" s="10" t="n">
        <v>14782</v>
      </c>
      <c r="H170" s="10" t="n">
        <v>14782</v>
      </c>
      <c r="I170" s="10" t="n">
        <f aca="false">ROUND(H170-G170, 2)</f>
        <v>0</v>
      </c>
      <c r="J170" s="10" t="n">
        <f aca="false">IF(L170="RESOLVED", 0, ABS(I170))</f>
        <v>0</v>
      </c>
      <c r="K170" s="6" t="n">
        <v>36</v>
      </c>
      <c r="L170" s="24" t="s">
        <v>2352</v>
      </c>
    </row>
    <row r="171" customFormat="false" ht="18.75" hidden="false" customHeight="true" outlineLevel="0" collapsed="false">
      <c r="A171" s="7" t="s">
        <v>2490</v>
      </c>
      <c r="B171" s="7" t="s">
        <v>2491</v>
      </c>
      <c r="C171" s="7" t="s">
        <v>195</v>
      </c>
      <c r="D171" s="7" t="s">
        <v>2074</v>
      </c>
      <c r="E171" s="7" t="s">
        <v>84</v>
      </c>
      <c r="F171" s="7" t="s">
        <v>83</v>
      </c>
      <c r="G171" s="12" t="n">
        <v>14961.42</v>
      </c>
      <c r="H171" s="12" t="n">
        <v>14961.42</v>
      </c>
      <c r="I171" s="12" t="n">
        <f aca="false">ROUND(H171-G171, 2)</f>
        <v>0</v>
      </c>
      <c r="J171" s="12" t="n">
        <f aca="false">IF(L171="RESOLVED", 0, ABS(I171))</f>
        <v>0</v>
      </c>
      <c r="K171" s="8" t="n">
        <v>35</v>
      </c>
      <c r="L171" s="24" t="s">
        <v>2352</v>
      </c>
    </row>
    <row r="172" customFormat="false" ht="18.75" hidden="false" customHeight="true" outlineLevel="0" collapsed="false">
      <c r="A172" s="4" t="s">
        <v>2492</v>
      </c>
      <c r="B172" s="4" t="s">
        <v>2493</v>
      </c>
      <c r="C172" s="4" t="s">
        <v>200</v>
      </c>
      <c r="D172" s="4" t="s">
        <v>2063</v>
      </c>
      <c r="E172" s="4" t="s">
        <v>84</v>
      </c>
      <c r="F172" s="4" t="s">
        <v>83</v>
      </c>
      <c r="G172" s="10" t="n">
        <v>15094.32</v>
      </c>
      <c r="H172" s="10" t="n">
        <v>15094.32</v>
      </c>
      <c r="I172" s="10" t="n">
        <f aca="false">ROUND(H172-G172, 2)</f>
        <v>0</v>
      </c>
      <c r="J172" s="10" t="n">
        <f aca="false">IF(L172="RESOLVED", 0, ABS(I172))</f>
        <v>0</v>
      </c>
      <c r="K172" s="6" t="n">
        <v>34</v>
      </c>
      <c r="L172" s="24" t="s">
        <v>2352</v>
      </c>
    </row>
    <row r="173" customFormat="false" ht="18.75" hidden="false" customHeight="true" outlineLevel="0" collapsed="false">
      <c r="A173" s="7" t="s">
        <v>2494</v>
      </c>
      <c r="B173" s="7" t="s">
        <v>2495</v>
      </c>
      <c r="C173" s="7" t="s">
        <v>205</v>
      </c>
      <c r="D173" s="7" t="s">
        <v>2067</v>
      </c>
      <c r="E173" s="7" t="s">
        <v>84</v>
      </c>
      <c r="F173" s="7" t="s">
        <v>83</v>
      </c>
      <c r="G173" s="12" t="n">
        <v>15207.98</v>
      </c>
      <c r="H173" s="12" t="n">
        <v>15207.98</v>
      </c>
      <c r="I173" s="12" t="n">
        <f aca="false">ROUND(H173-G173, 2)</f>
        <v>0</v>
      </c>
      <c r="J173" s="12" t="n">
        <f aca="false">IF(L173="RESOLVED", 0, ABS(I173))</f>
        <v>0</v>
      </c>
      <c r="K173" s="8" t="n">
        <v>33</v>
      </c>
      <c r="L173" s="24" t="s">
        <v>2352</v>
      </c>
    </row>
    <row r="174" customFormat="false" ht="18.75" hidden="false" customHeight="true" outlineLevel="0" collapsed="false">
      <c r="A174" s="4" t="s">
        <v>2496</v>
      </c>
      <c r="B174" s="4" t="s">
        <v>2497</v>
      </c>
      <c r="C174" s="4" t="s">
        <v>210</v>
      </c>
      <c r="D174" s="4" t="s">
        <v>2071</v>
      </c>
      <c r="E174" s="4" t="s">
        <v>84</v>
      </c>
      <c r="F174" s="4" t="s">
        <v>83</v>
      </c>
      <c r="G174" s="10" t="n">
        <v>15479.49</v>
      </c>
      <c r="H174" s="10" t="n">
        <v>15479.49</v>
      </c>
      <c r="I174" s="10" t="n">
        <f aca="false">ROUND(H174-G174, 2)</f>
        <v>0</v>
      </c>
      <c r="J174" s="10" t="n">
        <f aca="false">IF(L174="RESOLVED", 0, ABS(I174))</f>
        <v>0</v>
      </c>
      <c r="K174" s="6" t="n">
        <v>32</v>
      </c>
      <c r="L174" s="24" t="s">
        <v>2352</v>
      </c>
    </row>
    <row r="175" customFormat="false" ht="18.75" hidden="false" customHeight="true" outlineLevel="0" collapsed="false">
      <c r="A175" s="7" t="s">
        <v>2498</v>
      </c>
      <c r="B175" s="7" t="s">
        <v>2499</v>
      </c>
      <c r="C175" s="7" t="s">
        <v>215</v>
      </c>
      <c r="D175" s="7" t="s">
        <v>2074</v>
      </c>
      <c r="E175" s="7" t="s">
        <v>84</v>
      </c>
      <c r="F175" s="7" t="s">
        <v>83</v>
      </c>
      <c r="G175" s="12" t="n">
        <v>15525.38</v>
      </c>
      <c r="H175" s="12" t="n">
        <v>15525.38</v>
      </c>
      <c r="I175" s="12" t="n">
        <f aca="false">ROUND(H175-G175, 2)</f>
        <v>0</v>
      </c>
      <c r="J175" s="12" t="n">
        <f aca="false">IF(L175="RESOLVED", 0, ABS(I175))</f>
        <v>0</v>
      </c>
      <c r="K175" s="8" t="n">
        <v>31</v>
      </c>
      <c r="L175" s="24" t="s">
        <v>2352</v>
      </c>
    </row>
    <row r="176" customFormat="false" ht="18.75" hidden="false" customHeight="true" outlineLevel="0" collapsed="false">
      <c r="A176" s="4" t="s">
        <v>2500</v>
      </c>
      <c r="B176" s="4" t="s">
        <v>2501</v>
      </c>
      <c r="C176" s="4" t="s">
        <v>220</v>
      </c>
      <c r="D176" s="4" t="s">
        <v>2063</v>
      </c>
      <c r="E176" s="4" t="s">
        <v>84</v>
      </c>
      <c r="F176" s="4" t="s">
        <v>83</v>
      </c>
      <c r="G176" s="10" t="n">
        <v>15838.55</v>
      </c>
      <c r="H176" s="10" t="n">
        <v>15838.55</v>
      </c>
      <c r="I176" s="10" t="n">
        <f aca="false">ROUND(H176-G176, 2)</f>
        <v>0</v>
      </c>
      <c r="J176" s="10" t="n">
        <f aca="false">IF(L176="RESOLVED", 0, ABS(I176))</f>
        <v>0</v>
      </c>
      <c r="K176" s="6" t="n">
        <v>30</v>
      </c>
      <c r="L176" s="24" t="s">
        <v>2352</v>
      </c>
    </row>
    <row r="177" customFormat="false" ht="18.75" hidden="false" customHeight="true" outlineLevel="0" collapsed="false">
      <c r="A177" s="7" t="s">
        <v>2502</v>
      </c>
      <c r="B177" s="7" t="s">
        <v>2503</v>
      </c>
      <c r="C177" s="7" t="s">
        <v>99</v>
      </c>
      <c r="D177" s="7" t="s">
        <v>2063</v>
      </c>
      <c r="E177" s="7" t="s">
        <v>84</v>
      </c>
      <c r="F177" s="7" t="s">
        <v>83</v>
      </c>
      <c r="G177" s="12" t="n">
        <v>15949.52</v>
      </c>
      <c r="H177" s="12" t="n">
        <v>15949.52</v>
      </c>
      <c r="I177" s="12" t="n">
        <f aca="false">ROUND(H177-G177, 2)</f>
        <v>0</v>
      </c>
      <c r="J177" s="12" t="n">
        <f aca="false">IF(L177="RESOLVED", 0, ABS(I177))</f>
        <v>0</v>
      </c>
      <c r="K177" s="8" t="n">
        <v>29</v>
      </c>
      <c r="L177" s="24" t="s">
        <v>2352</v>
      </c>
    </row>
    <row r="178" customFormat="false" ht="18.75" hidden="false" customHeight="true" outlineLevel="0" collapsed="false">
      <c r="A178" s="4" t="s">
        <v>2504</v>
      </c>
      <c r="B178" s="4" t="s">
        <v>2505</v>
      </c>
      <c r="C178" s="4" t="s">
        <v>105</v>
      </c>
      <c r="D178" s="4" t="s">
        <v>2067</v>
      </c>
      <c r="E178" s="4" t="s">
        <v>84</v>
      </c>
      <c r="F178" s="4" t="s">
        <v>83</v>
      </c>
      <c r="G178" s="10" t="n">
        <v>16197.45</v>
      </c>
      <c r="H178" s="10" t="n">
        <v>16197.45</v>
      </c>
      <c r="I178" s="10" t="n">
        <f aca="false">ROUND(H178-G178, 2)</f>
        <v>0</v>
      </c>
      <c r="J178" s="10" t="n">
        <f aca="false">IF(L178="RESOLVED", 0, ABS(I178))</f>
        <v>0</v>
      </c>
      <c r="K178" s="6" t="n">
        <v>28</v>
      </c>
      <c r="L178" s="24" t="s">
        <v>2352</v>
      </c>
    </row>
    <row r="179" customFormat="false" ht="18.75" hidden="false" customHeight="true" outlineLevel="0" collapsed="false">
      <c r="A179" s="7" t="s">
        <v>2506</v>
      </c>
      <c r="B179" s="7" t="s">
        <v>2507</v>
      </c>
      <c r="C179" s="7" t="s">
        <v>110</v>
      </c>
      <c r="D179" s="7" t="s">
        <v>2071</v>
      </c>
      <c r="E179" s="7" t="s">
        <v>84</v>
      </c>
      <c r="F179" s="7" t="s">
        <v>83</v>
      </c>
      <c r="G179" s="12" t="n">
        <v>16208.99</v>
      </c>
      <c r="H179" s="12" t="n">
        <v>16208.99</v>
      </c>
      <c r="I179" s="12" t="n">
        <f aca="false">ROUND(H179-G179, 2)</f>
        <v>0</v>
      </c>
      <c r="J179" s="12" t="n">
        <f aca="false">IF(L179="RESOLVED", 0, ABS(I179))</f>
        <v>0</v>
      </c>
      <c r="K179" s="8" t="n">
        <v>27</v>
      </c>
      <c r="L179" s="24" t="s">
        <v>2352</v>
      </c>
    </row>
    <row r="180" customFormat="false" ht="18.75" hidden="false" customHeight="true" outlineLevel="0" collapsed="false">
      <c r="A180" s="4" t="s">
        <v>2508</v>
      </c>
      <c r="B180" s="4" t="s">
        <v>2509</v>
      </c>
      <c r="C180" s="4" t="s">
        <v>115</v>
      </c>
      <c r="D180" s="4" t="s">
        <v>2074</v>
      </c>
      <c r="E180" s="4" t="s">
        <v>84</v>
      </c>
      <c r="F180" s="4" t="s">
        <v>83</v>
      </c>
      <c r="G180" s="10" t="n">
        <v>16468.26</v>
      </c>
      <c r="H180" s="10" t="n">
        <v>16468.26</v>
      </c>
      <c r="I180" s="10" t="n">
        <f aca="false">ROUND(H180-G180, 2)</f>
        <v>0</v>
      </c>
      <c r="J180" s="10" t="n">
        <f aca="false">IF(L180="RESOLVED", 0, ABS(I180))</f>
        <v>0</v>
      </c>
      <c r="K180" s="6" t="n">
        <v>26</v>
      </c>
      <c r="L180" s="24" t="s">
        <v>2352</v>
      </c>
    </row>
    <row r="181" customFormat="false" ht="18.75" hidden="false" customHeight="true" outlineLevel="0" collapsed="false">
      <c r="A181" s="7" t="s">
        <v>2510</v>
      </c>
      <c r="B181" s="7" t="s">
        <v>2511</v>
      </c>
      <c r="C181" s="7" t="s">
        <v>120</v>
      </c>
      <c r="D181" s="7" t="s">
        <v>2063</v>
      </c>
      <c r="E181" s="7" t="s">
        <v>84</v>
      </c>
      <c r="F181" s="7" t="s">
        <v>83</v>
      </c>
      <c r="G181" s="12" t="n">
        <v>16586.29</v>
      </c>
      <c r="H181" s="12" t="n">
        <v>16586.29</v>
      </c>
      <c r="I181" s="12" t="n">
        <f aca="false">ROUND(H181-G181, 2)</f>
        <v>0</v>
      </c>
      <c r="J181" s="12" t="n">
        <f aca="false">IF(L181="RESOLVED", 0, ABS(I181))</f>
        <v>0</v>
      </c>
      <c r="K181" s="8" t="n">
        <v>25</v>
      </c>
      <c r="L181" s="24" t="s">
        <v>2352</v>
      </c>
    </row>
    <row r="182" customFormat="false" ht="18.75" hidden="false" customHeight="true" outlineLevel="0" collapsed="false">
      <c r="A182" s="4" t="s">
        <v>2512</v>
      </c>
      <c r="B182" s="4" t="s">
        <v>2513</v>
      </c>
      <c r="C182" s="4" t="s">
        <v>125</v>
      </c>
      <c r="D182" s="4" t="s">
        <v>2067</v>
      </c>
      <c r="E182" s="4" t="s">
        <v>84</v>
      </c>
      <c r="F182" s="4" t="s">
        <v>83</v>
      </c>
      <c r="G182" s="10" t="n">
        <v>16776.32</v>
      </c>
      <c r="H182" s="10" t="n">
        <v>16776.32</v>
      </c>
      <c r="I182" s="10" t="n">
        <f aca="false">ROUND(H182-G182, 2)</f>
        <v>0</v>
      </c>
      <c r="J182" s="10" t="n">
        <f aca="false">IF(L182="RESOLVED", 0, ABS(I182))</f>
        <v>0</v>
      </c>
      <c r="K182" s="6" t="n">
        <v>24</v>
      </c>
      <c r="L182" s="24" t="s">
        <v>2352</v>
      </c>
    </row>
    <row r="183" customFormat="false" ht="18.75" hidden="false" customHeight="true" outlineLevel="0" collapsed="false">
      <c r="A183" s="7" t="s">
        <v>2514</v>
      </c>
      <c r="B183" s="7" t="s">
        <v>2515</v>
      </c>
      <c r="C183" s="7" t="s">
        <v>130</v>
      </c>
      <c r="D183" s="7" t="s">
        <v>2071</v>
      </c>
      <c r="E183" s="7" t="s">
        <v>84</v>
      </c>
      <c r="F183" s="7" t="s">
        <v>83</v>
      </c>
      <c r="G183" s="12" t="n">
        <v>17028.15</v>
      </c>
      <c r="H183" s="12" t="n">
        <v>17028.15</v>
      </c>
      <c r="I183" s="12" t="n">
        <f aca="false">ROUND(H183-G183, 2)</f>
        <v>0</v>
      </c>
      <c r="J183" s="12" t="n">
        <f aca="false">IF(L183="RESOLVED", 0, ABS(I183))</f>
        <v>0</v>
      </c>
      <c r="K183" s="8" t="n">
        <v>23</v>
      </c>
      <c r="L183" s="24" t="s">
        <v>2352</v>
      </c>
    </row>
    <row r="184" customFormat="false" ht="18.75" hidden="false" customHeight="true" outlineLevel="0" collapsed="false">
      <c r="A184" s="4" t="s">
        <v>2516</v>
      </c>
      <c r="B184" s="4" t="s">
        <v>2517</v>
      </c>
      <c r="C184" s="4" t="s">
        <v>135</v>
      </c>
      <c r="D184" s="4" t="s">
        <v>2074</v>
      </c>
      <c r="E184" s="4" t="s">
        <v>84</v>
      </c>
      <c r="F184" s="4" t="s">
        <v>83</v>
      </c>
      <c r="G184" s="10" t="n">
        <v>17009.08</v>
      </c>
      <c r="H184" s="10" t="n">
        <v>17009.08</v>
      </c>
      <c r="I184" s="10" t="n">
        <f aca="false">ROUND(H184-G184, 2)</f>
        <v>0</v>
      </c>
      <c r="J184" s="10" t="n">
        <f aca="false">IF(L184="RESOLVED", 0, ABS(I184))</f>
        <v>0</v>
      </c>
      <c r="K184" s="6" t="n">
        <v>22</v>
      </c>
      <c r="L184" s="24" t="s">
        <v>2352</v>
      </c>
    </row>
    <row r="185" customFormat="false" ht="18.75" hidden="false" customHeight="true" outlineLevel="0" collapsed="false">
      <c r="A185" s="7" t="s">
        <v>2518</v>
      </c>
      <c r="B185" s="7" t="s">
        <v>2519</v>
      </c>
      <c r="C185" s="7" t="s">
        <v>140</v>
      </c>
      <c r="D185" s="7" t="s">
        <v>2063</v>
      </c>
      <c r="E185" s="7" t="s">
        <v>84</v>
      </c>
      <c r="F185" s="7" t="s">
        <v>83</v>
      </c>
      <c r="G185" s="12" t="n">
        <v>17399.5</v>
      </c>
      <c r="H185" s="12" t="n">
        <v>17399.5</v>
      </c>
      <c r="I185" s="12" t="n">
        <f aca="false">ROUND(H185-G185, 2)</f>
        <v>0</v>
      </c>
      <c r="J185" s="12" t="n">
        <f aca="false">IF(L185="RESOLVED", 0, ABS(I185))</f>
        <v>0</v>
      </c>
      <c r="K185" s="8" t="n">
        <v>21</v>
      </c>
      <c r="L185" s="24" t="s">
        <v>2352</v>
      </c>
    </row>
    <row r="186" customFormat="false" ht="18.75" hidden="false" customHeight="true" outlineLevel="0" collapsed="false">
      <c r="A186" s="4" t="s">
        <v>2520</v>
      </c>
      <c r="B186" s="4" t="s">
        <v>2521</v>
      </c>
      <c r="C186" s="4" t="s">
        <v>145</v>
      </c>
      <c r="D186" s="4" t="s">
        <v>2067</v>
      </c>
      <c r="E186" s="4" t="s">
        <v>84</v>
      </c>
      <c r="F186" s="4" t="s">
        <v>83</v>
      </c>
      <c r="G186" s="10" t="n">
        <v>17410.83</v>
      </c>
      <c r="H186" s="10" t="n">
        <v>17410.83</v>
      </c>
      <c r="I186" s="10" t="n">
        <f aca="false">ROUND(H186-G186, 2)</f>
        <v>0</v>
      </c>
      <c r="J186" s="10" t="n">
        <f aca="false">IF(L186="RESOLVED", 0, ABS(I186))</f>
        <v>0</v>
      </c>
      <c r="K186" s="6" t="n">
        <v>20</v>
      </c>
      <c r="L186" s="24" t="s">
        <v>2352</v>
      </c>
    </row>
    <row r="187" customFormat="false" ht="18.75" hidden="false" customHeight="true" outlineLevel="0" collapsed="false">
      <c r="A187" s="7" t="s">
        <v>2522</v>
      </c>
      <c r="B187" s="7" t="s">
        <v>2523</v>
      </c>
      <c r="C187" s="7" t="s">
        <v>150</v>
      </c>
      <c r="D187" s="7" t="s">
        <v>2071</v>
      </c>
      <c r="E187" s="7" t="s">
        <v>84</v>
      </c>
      <c r="F187" s="7" t="s">
        <v>83</v>
      </c>
      <c r="G187" s="12" t="n">
        <v>17633</v>
      </c>
      <c r="H187" s="12" t="n">
        <v>17633</v>
      </c>
      <c r="I187" s="12" t="n">
        <f aca="false">ROUND(H187-G187, 2)</f>
        <v>0</v>
      </c>
      <c r="J187" s="12" t="n">
        <f aca="false">IF(L187="RESOLVED", 0, ABS(I187))</f>
        <v>0</v>
      </c>
      <c r="K187" s="8" t="n">
        <v>19</v>
      </c>
      <c r="L187" s="24" t="s">
        <v>2352</v>
      </c>
    </row>
    <row r="188" customFormat="false" ht="18.75" hidden="false" customHeight="true" outlineLevel="0" collapsed="false">
      <c r="A188" s="4" t="s">
        <v>2524</v>
      </c>
      <c r="B188" s="4" t="s">
        <v>2525</v>
      </c>
      <c r="C188" s="4" t="s">
        <v>155</v>
      </c>
      <c r="D188" s="4" t="s">
        <v>2074</v>
      </c>
      <c r="E188" s="4" t="s">
        <v>84</v>
      </c>
      <c r="F188" s="4" t="s">
        <v>83</v>
      </c>
      <c r="G188" s="10" t="n">
        <v>17855.82</v>
      </c>
      <c r="H188" s="10" t="n">
        <v>17855.82</v>
      </c>
      <c r="I188" s="10" t="n">
        <f aca="false">ROUND(H188-G188, 2)</f>
        <v>0</v>
      </c>
      <c r="J188" s="10" t="n">
        <f aca="false">IF(L188="RESOLVED", 0, ABS(I188))</f>
        <v>0</v>
      </c>
      <c r="K188" s="6" t="n">
        <v>18</v>
      </c>
      <c r="L188" s="24" t="s">
        <v>2352</v>
      </c>
    </row>
    <row r="189" customFormat="false" ht="18.75" hidden="false" customHeight="true" outlineLevel="0" collapsed="false">
      <c r="A189" s="7" t="s">
        <v>2526</v>
      </c>
      <c r="B189" s="7" t="s">
        <v>2527</v>
      </c>
      <c r="C189" s="7" t="s">
        <v>160</v>
      </c>
      <c r="D189" s="7" t="s">
        <v>2063</v>
      </c>
      <c r="E189" s="7" t="s">
        <v>84</v>
      </c>
      <c r="F189" s="7" t="s">
        <v>83</v>
      </c>
      <c r="G189" s="12" t="n">
        <v>17948.78</v>
      </c>
      <c r="H189" s="12" t="n">
        <v>17948.78</v>
      </c>
      <c r="I189" s="12" t="n">
        <f aca="false">ROUND(H189-G189, 2)</f>
        <v>0</v>
      </c>
      <c r="J189" s="12" t="n">
        <f aca="false">IF(L189="RESOLVED", 0, ABS(I189))</f>
        <v>0</v>
      </c>
      <c r="K189" s="8" t="n">
        <v>17</v>
      </c>
      <c r="L189" s="24" t="s">
        <v>2352</v>
      </c>
    </row>
    <row r="190" customFormat="false" ht="18.75" hidden="false" customHeight="true" outlineLevel="0" collapsed="false">
      <c r="A190" s="4" t="s">
        <v>2528</v>
      </c>
      <c r="B190" s="4" t="s">
        <v>2529</v>
      </c>
      <c r="C190" s="4" t="s">
        <v>165</v>
      </c>
      <c r="D190" s="4" t="s">
        <v>2067</v>
      </c>
      <c r="E190" s="4" t="s">
        <v>84</v>
      </c>
      <c r="F190" s="4" t="s">
        <v>83</v>
      </c>
      <c r="G190" s="10" t="n">
        <v>291.18</v>
      </c>
      <c r="H190" s="10" t="n">
        <v>291.18</v>
      </c>
      <c r="I190" s="10" t="n">
        <f aca="false">ROUND(H190-G190, 2)</f>
        <v>0</v>
      </c>
      <c r="J190" s="10" t="n">
        <f aca="false">IF(L190="RESOLVED", 0, ABS(I190))</f>
        <v>0</v>
      </c>
      <c r="K190" s="6" t="n">
        <v>16</v>
      </c>
      <c r="L190" s="24" t="s">
        <v>2352</v>
      </c>
    </row>
    <row r="191" customFormat="false" ht="18.75" hidden="false" customHeight="true" outlineLevel="0" collapsed="false">
      <c r="A191" s="7" t="s">
        <v>2530</v>
      </c>
      <c r="B191" s="7" t="s">
        <v>2531</v>
      </c>
      <c r="C191" s="7" t="s">
        <v>170</v>
      </c>
      <c r="D191" s="7" t="s">
        <v>2071</v>
      </c>
      <c r="E191" s="7" t="s">
        <v>84</v>
      </c>
      <c r="F191" s="7" t="s">
        <v>83</v>
      </c>
      <c r="G191" s="12" t="n">
        <v>452.69</v>
      </c>
      <c r="H191" s="12" t="n">
        <v>452.69</v>
      </c>
      <c r="I191" s="12" t="n">
        <f aca="false">ROUND(H191-G191, 2)</f>
        <v>0</v>
      </c>
      <c r="J191" s="12" t="n">
        <f aca="false">IF(L191="RESOLVED", 0, ABS(I191))</f>
        <v>0</v>
      </c>
      <c r="K191" s="8" t="n">
        <v>15</v>
      </c>
      <c r="L191" s="24" t="s">
        <v>2352</v>
      </c>
    </row>
    <row r="192" customFormat="false" ht="18.75" hidden="false" customHeight="true" outlineLevel="0" collapsed="false">
      <c r="A192" s="4" t="s">
        <v>2532</v>
      </c>
      <c r="B192" s="4" t="s">
        <v>2533</v>
      </c>
      <c r="C192" s="4" t="s">
        <v>175</v>
      </c>
      <c r="D192" s="4" t="s">
        <v>2074</v>
      </c>
      <c r="E192" s="4" t="s">
        <v>84</v>
      </c>
      <c r="F192" s="4" t="s">
        <v>83</v>
      </c>
      <c r="G192" s="10" t="n">
        <v>630.61</v>
      </c>
      <c r="H192" s="10" t="n">
        <v>630.61</v>
      </c>
      <c r="I192" s="10" t="n">
        <f aca="false">ROUND(H192-G192, 2)</f>
        <v>0</v>
      </c>
      <c r="J192" s="10" t="n">
        <f aca="false">IF(L192="RESOLVED", 0, ABS(I192))</f>
        <v>0</v>
      </c>
      <c r="K192" s="6" t="n">
        <v>14</v>
      </c>
      <c r="L192" s="24" t="s">
        <v>2352</v>
      </c>
    </row>
    <row r="193" customFormat="false" ht="18.75" hidden="false" customHeight="true" outlineLevel="0" collapsed="false">
      <c r="A193" s="7" t="s">
        <v>2534</v>
      </c>
      <c r="B193" s="7" t="s">
        <v>2535</v>
      </c>
      <c r="C193" s="7" t="s">
        <v>180</v>
      </c>
      <c r="D193" s="7" t="s">
        <v>2063</v>
      </c>
      <c r="E193" s="7" t="s">
        <v>84</v>
      </c>
      <c r="F193" s="7" t="s">
        <v>83</v>
      </c>
      <c r="G193" s="12" t="n">
        <v>793.98</v>
      </c>
      <c r="H193" s="12" t="n">
        <v>793.98</v>
      </c>
      <c r="I193" s="12" t="n">
        <f aca="false">ROUND(H193-G193, 2)</f>
        <v>0</v>
      </c>
      <c r="J193" s="12" t="n">
        <f aca="false">IF(L193="RESOLVED", 0, ABS(I193))</f>
        <v>0</v>
      </c>
      <c r="K193" s="8" t="n">
        <v>13</v>
      </c>
      <c r="L193" s="24" t="s">
        <v>2352</v>
      </c>
    </row>
    <row r="194" customFormat="false" ht="18.75" hidden="false" customHeight="true" outlineLevel="0" collapsed="false">
      <c r="A194" s="4" t="s">
        <v>2536</v>
      </c>
      <c r="B194" s="4" t="s">
        <v>2537</v>
      </c>
      <c r="C194" s="4" t="s">
        <v>185</v>
      </c>
      <c r="D194" s="4" t="s">
        <v>2067</v>
      </c>
      <c r="E194" s="4" t="s">
        <v>84</v>
      </c>
      <c r="F194" s="4" t="s">
        <v>83</v>
      </c>
      <c r="G194" s="10" t="n">
        <v>959.56</v>
      </c>
      <c r="H194" s="10" t="n">
        <v>959.56</v>
      </c>
      <c r="I194" s="10" t="n">
        <f aca="false">ROUND(H194-G194, 2)</f>
        <v>0</v>
      </c>
      <c r="J194" s="10" t="n">
        <f aca="false">IF(L194="RESOLVED", 0, ABS(I194))</f>
        <v>0</v>
      </c>
      <c r="K194" s="6" t="n">
        <v>12</v>
      </c>
      <c r="L194" s="24" t="s">
        <v>2352</v>
      </c>
    </row>
    <row r="195" customFormat="false" ht="18.75" hidden="false" customHeight="true" outlineLevel="0" collapsed="false">
      <c r="A195" s="7" t="s">
        <v>2538</v>
      </c>
      <c r="B195" s="7" t="s">
        <v>2539</v>
      </c>
      <c r="C195" s="7" t="s">
        <v>190</v>
      </c>
      <c r="D195" s="7" t="s">
        <v>2071</v>
      </c>
      <c r="E195" s="7" t="s">
        <v>84</v>
      </c>
      <c r="F195" s="7" t="s">
        <v>83</v>
      </c>
      <c r="G195" s="12" t="n">
        <v>1136.58</v>
      </c>
      <c r="H195" s="12" t="n">
        <v>1136.58</v>
      </c>
      <c r="I195" s="12" t="n">
        <f aca="false">ROUND(H195-G195, 2)</f>
        <v>0</v>
      </c>
      <c r="J195" s="12" t="n">
        <f aca="false">IF(L195="RESOLVED", 0, ABS(I195))</f>
        <v>0</v>
      </c>
      <c r="K195" s="8" t="n">
        <v>11</v>
      </c>
      <c r="L195" s="24" t="s">
        <v>2352</v>
      </c>
    </row>
    <row r="196" customFormat="false" ht="18.75" hidden="false" customHeight="true" outlineLevel="0" collapsed="false">
      <c r="A196" s="4" t="s">
        <v>2540</v>
      </c>
      <c r="B196" s="4" t="s">
        <v>2541</v>
      </c>
      <c r="C196" s="4" t="s">
        <v>195</v>
      </c>
      <c r="D196" s="4" t="s">
        <v>2074</v>
      </c>
      <c r="E196" s="4" t="s">
        <v>84</v>
      </c>
      <c r="F196" s="4" t="s">
        <v>83</v>
      </c>
      <c r="G196" s="10" t="n">
        <v>1307.77</v>
      </c>
      <c r="H196" s="10" t="n">
        <v>1307.77</v>
      </c>
      <c r="I196" s="10" t="n">
        <f aca="false">ROUND(H196-G196, 2)</f>
        <v>0</v>
      </c>
      <c r="J196" s="10" t="n">
        <f aca="false">IF(L196="RESOLVED", 0, ABS(I196))</f>
        <v>0</v>
      </c>
      <c r="K196" s="6" t="n">
        <v>10</v>
      </c>
      <c r="L196" s="24" t="s">
        <v>2352</v>
      </c>
    </row>
    <row r="197" customFormat="false" ht="18.75" hidden="false" customHeight="true" outlineLevel="0" collapsed="false">
      <c r="A197" s="7" t="s">
        <v>2542</v>
      </c>
      <c r="B197" s="7" t="s">
        <v>2543</v>
      </c>
      <c r="C197" s="7" t="s">
        <v>200</v>
      </c>
      <c r="D197" s="7" t="s">
        <v>2063</v>
      </c>
      <c r="E197" s="7" t="s">
        <v>84</v>
      </c>
      <c r="F197" s="7" t="s">
        <v>83</v>
      </c>
      <c r="G197" s="12" t="n">
        <v>1473.55</v>
      </c>
      <c r="H197" s="12" t="n">
        <v>1473.55</v>
      </c>
      <c r="I197" s="12" t="n">
        <f aca="false">ROUND(H197-G197, 2)</f>
        <v>0</v>
      </c>
      <c r="J197" s="12" t="n">
        <f aca="false">IF(L197="RESOLVED", 0, ABS(I197))</f>
        <v>0</v>
      </c>
      <c r="K197" s="8" t="n">
        <v>9</v>
      </c>
      <c r="L197" s="24" t="s">
        <v>2352</v>
      </c>
    </row>
    <row r="198" customFormat="false" ht="18.75" hidden="false" customHeight="true" outlineLevel="0" collapsed="false">
      <c r="A198" s="4" t="s">
        <v>2544</v>
      </c>
      <c r="B198" s="4" t="s">
        <v>2545</v>
      </c>
      <c r="C198" s="4" t="s">
        <v>205</v>
      </c>
      <c r="D198" s="4" t="s">
        <v>2067</v>
      </c>
      <c r="E198" s="4" t="s">
        <v>84</v>
      </c>
      <c r="F198" s="4" t="s">
        <v>83</v>
      </c>
      <c r="G198" s="10" t="n">
        <v>1635.53</v>
      </c>
      <c r="H198" s="10" t="n">
        <v>1635.53</v>
      </c>
      <c r="I198" s="10" t="n">
        <f aca="false">ROUND(H198-G198, 2)</f>
        <v>0</v>
      </c>
      <c r="J198" s="10" t="n">
        <f aca="false">IF(L198="RESOLVED", 0, ABS(I198))</f>
        <v>0</v>
      </c>
      <c r="K198" s="6" t="n">
        <v>8</v>
      </c>
      <c r="L198" s="24" t="s">
        <v>2352</v>
      </c>
    </row>
    <row r="199" customFormat="false" ht="18.75" hidden="false" customHeight="true" outlineLevel="0" collapsed="false">
      <c r="A199" s="7" t="s">
        <v>2546</v>
      </c>
      <c r="B199" s="7" t="s">
        <v>2547</v>
      </c>
      <c r="C199" s="7" t="s">
        <v>210</v>
      </c>
      <c r="D199" s="7" t="s">
        <v>2071</v>
      </c>
      <c r="E199" s="7" t="s">
        <v>84</v>
      </c>
      <c r="F199" s="7" t="s">
        <v>83</v>
      </c>
      <c r="G199" s="12" t="n">
        <v>1817.64</v>
      </c>
      <c r="H199" s="12" t="n">
        <v>1817.64</v>
      </c>
      <c r="I199" s="12" t="n">
        <f aca="false">ROUND(H199-G199, 2)</f>
        <v>0</v>
      </c>
      <c r="J199" s="12" t="n">
        <f aca="false">IF(L199="RESOLVED", 0, ABS(I199))</f>
        <v>0</v>
      </c>
      <c r="K199" s="8" t="n">
        <v>7</v>
      </c>
      <c r="L199" s="24" t="s">
        <v>2352</v>
      </c>
    </row>
    <row r="200" customFormat="false" ht="18.75" hidden="false" customHeight="true" outlineLevel="0" collapsed="false">
      <c r="A200" s="4" t="s">
        <v>2548</v>
      </c>
      <c r="B200" s="4" t="s">
        <v>2549</v>
      </c>
      <c r="C200" s="4" t="s">
        <v>215</v>
      </c>
      <c r="D200" s="4" t="s">
        <v>2074</v>
      </c>
      <c r="E200" s="4" t="s">
        <v>84</v>
      </c>
      <c r="F200" s="4" t="s">
        <v>83</v>
      </c>
      <c r="G200" s="10" t="n">
        <v>1970.34</v>
      </c>
      <c r="H200" s="10" t="n">
        <v>1970.34</v>
      </c>
      <c r="I200" s="10" t="n">
        <f aca="false">ROUND(H200-G200, 2)</f>
        <v>0</v>
      </c>
      <c r="J200" s="10" t="n">
        <f aca="false">IF(L200="RESOLVED", 0, ABS(I200))</f>
        <v>0</v>
      </c>
      <c r="K200" s="6" t="n">
        <v>6</v>
      </c>
      <c r="L200" s="24" t="s">
        <v>2352</v>
      </c>
    </row>
    <row r="201" customFormat="false" ht="18.75" hidden="false" customHeight="true" outlineLevel="0" collapsed="false">
      <c r="A201" s="7" t="s">
        <v>2550</v>
      </c>
      <c r="B201" s="7" t="s">
        <v>2551</v>
      </c>
      <c r="C201" s="7" t="s">
        <v>220</v>
      </c>
      <c r="D201" s="7" t="s">
        <v>2063</v>
      </c>
      <c r="E201" s="7" t="s">
        <v>84</v>
      </c>
      <c r="F201" s="7" t="s">
        <v>83</v>
      </c>
      <c r="G201" s="12" t="n">
        <v>2159.29</v>
      </c>
      <c r="H201" s="12" t="n">
        <v>2159.29</v>
      </c>
      <c r="I201" s="12" t="n">
        <f aca="false">ROUND(H201-G201, 2)</f>
        <v>0</v>
      </c>
      <c r="J201" s="12" t="n">
        <f aca="false">IF(L201="RESOLVED", 0, ABS(I201))</f>
        <v>0</v>
      </c>
      <c r="K201" s="8" t="n">
        <v>5</v>
      </c>
      <c r="L201" s="24" t="s">
        <v>2352</v>
      </c>
    </row>
    <row r="202" customFormat="false" ht="18.75" hidden="false" customHeight="true" outlineLevel="0" collapsed="false">
      <c r="A202" s="4" t="s">
        <v>2552</v>
      </c>
      <c r="B202" s="4" t="s">
        <v>2553</v>
      </c>
      <c r="C202" s="4" t="s">
        <v>99</v>
      </c>
      <c r="D202" s="4" t="s">
        <v>2063</v>
      </c>
      <c r="E202" s="4" t="s">
        <v>84</v>
      </c>
      <c r="F202" s="4" t="s">
        <v>83</v>
      </c>
      <c r="G202" s="10" t="n">
        <v>2320.52</v>
      </c>
      <c r="H202" s="10" t="n">
        <v>2320.52</v>
      </c>
      <c r="I202" s="10" t="n">
        <f aca="false">ROUND(H202-G202, 2)</f>
        <v>0</v>
      </c>
      <c r="J202" s="10" t="n">
        <f aca="false">IF(L202="RESOLVED", 0, ABS(I202))</f>
        <v>0</v>
      </c>
      <c r="K202" s="6" t="n">
        <v>54</v>
      </c>
      <c r="L202" s="24" t="s">
        <v>2352</v>
      </c>
    </row>
    <row r="203" customFormat="false" ht="18.75" hidden="false" customHeight="true" outlineLevel="0" collapsed="false">
      <c r="A203" s="7" t="s">
        <v>2554</v>
      </c>
      <c r="B203" s="7" t="s">
        <v>2555</v>
      </c>
      <c r="C203" s="7" t="s">
        <v>105</v>
      </c>
      <c r="D203" s="7" t="s">
        <v>2067</v>
      </c>
      <c r="E203" s="7" t="s">
        <v>84</v>
      </c>
      <c r="F203" s="7" t="s">
        <v>83</v>
      </c>
      <c r="G203" s="12" t="n">
        <v>2502.74</v>
      </c>
      <c r="H203" s="12" t="n">
        <v>2502.74</v>
      </c>
      <c r="I203" s="12" t="n">
        <f aca="false">ROUND(H203-G203, 2)</f>
        <v>0</v>
      </c>
      <c r="J203" s="12" t="n">
        <f aca="false">IF(L203="RESOLVED", 0, ABS(I203))</f>
        <v>0</v>
      </c>
      <c r="K203" s="8" t="n">
        <v>53</v>
      </c>
      <c r="L203" s="24" t="s">
        <v>2352</v>
      </c>
    </row>
    <row r="204" customFormat="false" ht="18.75" hidden="false" customHeight="true" outlineLevel="0" collapsed="false">
      <c r="A204" s="4" t="s">
        <v>2556</v>
      </c>
      <c r="B204" s="4" t="s">
        <v>2557</v>
      </c>
      <c r="C204" s="4" t="s">
        <v>110</v>
      </c>
      <c r="D204" s="4" t="s">
        <v>2071</v>
      </c>
      <c r="E204" s="4" t="s">
        <v>84</v>
      </c>
      <c r="F204" s="4" t="s">
        <v>83</v>
      </c>
      <c r="G204" s="10" t="n">
        <v>2645.72</v>
      </c>
      <c r="H204" s="10" t="n">
        <v>2645.72</v>
      </c>
      <c r="I204" s="10" t="n">
        <f aca="false">ROUND(H204-G204, 2)</f>
        <v>0</v>
      </c>
      <c r="J204" s="10" t="n">
        <f aca="false">IF(L204="RESOLVED", 0, ABS(I204))</f>
        <v>0</v>
      </c>
      <c r="K204" s="6" t="n">
        <v>52</v>
      </c>
      <c r="L204" s="24" t="s">
        <v>2352</v>
      </c>
    </row>
    <row r="205" customFormat="false" ht="18.75" hidden="false" customHeight="true" outlineLevel="0" collapsed="false">
      <c r="A205" s="7" t="s">
        <v>2558</v>
      </c>
      <c r="B205" s="7" t="s">
        <v>2559</v>
      </c>
      <c r="C205" s="7" t="s">
        <v>115</v>
      </c>
      <c r="D205" s="7" t="s">
        <v>2074</v>
      </c>
      <c r="E205" s="7" t="s">
        <v>84</v>
      </c>
      <c r="F205" s="7" t="s">
        <v>83</v>
      </c>
      <c r="G205" s="12" t="n">
        <v>2830.08</v>
      </c>
      <c r="H205" s="12" t="n">
        <v>2830.08</v>
      </c>
      <c r="I205" s="12" t="n">
        <f aca="false">ROUND(H205-G205, 2)</f>
        <v>0</v>
      </c>
      <c r="J205" s="12" t="n">
        <f aca="false">IF(L205="RESOLVED", 0, ABS(I205))</f>
        <v>0</v>
      </c>
      <c r="K205" s="8" t="n">
        <v>51</v>
      </c>
      <c r="L205" s="24" t="s">
        <v>2352</v>
      </c>
    </row>
    <row r="206" customFormat="false" ht="18.75" hidden="false" customHeight="true" outlineLevel="0" collapsed="false">
      <c r="A206" s="4" t="s">
        <v>2560</v>
      </c>
      <c r="B206" s="4" t="s">
        <v>2561</v>
      </c>
      <c r="C206" s="4" t="s">
        <v>120</v>
      </c>
      <c r="D206" s="4" t="s">
        <v>2063</v>
      </c>
      <c r="E206" s="4" t="s">
        <v>84</v>
      </c>
      <c r="F206" s="4" t="s">
        <v>83</v>
      </c>
      <c r="G206" s="10" t="n">
        <v>2990.15</v>
      </c>
      <c r="H206" s="10" t="n">
        <v>2990.15</v>
      </c>
      <c r="I206" s="10" t="n">
        <f aca="false">ROUND(H206-G206, 2)</f>
        <v>0</v>
      </c>
      <c r="J206" s="10" t="n">
        <f aca="false">IF(L206="RESOLVED", 0, ABS(I206))</f>
        <v>0</v>
      </c>
      <c r="K206" s="6" t="n">
        <v>50</v>
      </c>
      <c r="L206" s="24" t="s">
        <v>2352</v>
      </c>
    </row>
    <row r="207" customFormat="false" ht="18.75" hidden="false" customHeight="true" outlineLevel="0" collapsed="false">
      <c r="A207" s="7" t="s">
        <v>2562</v>
      </c>
      <c r="B207" s="7" t="s">
        <v>2563</v>
      </c>
      <c r="C207" s="7" t="s">
        <v>125</v>
      </c>
      <c r="D207" s="7" t="s">
        <v>2067</v>
      </c>
      <c r="E207" s="7" t="s">
        <v>84</v>
      </c>
      <c r="F207" s="7" t="s">
        <v>83</v>
      </c>
      <c r="G207" s="12" t="n">
        <v>3163.76</v>
      </c>
      <c r="H207" s="12" t="n">
        <v>3163.76</v>
      </c>
      <c r="I207" s="12" t="n">
        <f aca="false">ROUND(H207-G207, 2)</f>
        <v>0</v>
      </c>
      <c r="J207" s="12" t="n">
        <f aca="false">IF(L207="RESOLVED", 0, ABS(I207))</f>
        <v>0</v>
      </c>
      <c r="K207" s="8" t="n">
        <v>49</v>
      </c>
      <c r="L207" s="24" t="s">
        <v>2352</v>
      </c>
    </row>
    <row r="208" customFormat="false" ht="18.75" hidden="false" customHeight="true" outlineLevel="0" collapsed="false">
      <c r="A208" s="4" t="s">
        <v>2564</v>
      </c>
      <c r="B208" s="4" t="s">
        <v>2565</v>
      </c>
      <c r="C208" s="4" t="s">
        <v>130</v>
      </c>
      <c r="D208" s="4" t="s">
        <v>2071</v>
      </c>
      <c r="E208" s="4" t="s">
        <v>84</v>
      </c>
      <c r="F208" s="4" t="s">
        <v>83</v>
      </c>
      <c r="G208" s="10" t="n">
        <v>3348.88</v>
      </c>
      <c r="H208" s="10" t="n">
        <v>3348.88</v>
      </c>
      <c r="I208" s="10" t="n">
        <f aca="false">ROUND(H208-G208, 2)</f>
        <v>0</v>
      </c>
      <c r="J208" s="10" t="n">
        <f aca="false">IF(L208="RESOLVED", 0, ABS(I208))</f>
        <v>0</v>
      </c>
      <c r="K208" s="6" t="n">
        <v>48</v>
      </c>
      <c r="L208" s="24" t="s">
        <v>2352</v>
      </c>
    </row>
    <row r="209" customFormat="false" ht="18.75" hidden="false" customHeight="true" outlineLevel="0" collapsed="false">
      <c r="A209" s="7" t="s">
        <v>2566</v>
      </c>
      <c r="B209" s="7" t="s">
        <v>2567</v>
      </c>
      <c r="C209" s="7" t="s">
        <v>135</v>
      </c>
      <c r="D209" s="7" t="s">
        <v>2074</v>
      </c>
      <c r="E209" s="7" t="s">
        <v>84</v>
      </c>
      <c r="F209" s="7" t="s">
        <v>83</v>
      </c>
      <c r="G209" s="12" t="n">
        <v>3478.69</v>
      </c>
      <c r="H209" s="12" t="n">
        <v>3478.69</v>
      </c>
      <c r="I209" s="12" t="n">
        <f aca="false">ROUND(H209-G209, 2)</f>
        <v>0</v>
      </c>
      <c r="J209" s="12" t="n">
        <f aca="false">IF(L209="RESOLVED", 0, ABS(I209))</f>
        <v>0</v>
      </c>
      <c r="K209" s="8" t="n">
        <v>47</v>
      </c>
      <c r="L209" s="24" t="s">
        <v>2352</v>
      </c>
    </row>
    <row r="210" customFormat="false" ht="18.75" hidden="false" customHeight="true" outlineLevel="0" collapsed="false">
      <c r="A210" s="4" t="s">
        <v>2568</v>
      </c>
      <c r="B210" s="4" t="s">
        <v>2569</v>
      </c>
      <c r="C210" s="4" t="s">
        <v>140</v>
      </c>
      <c r="D210" s="4" t="s">
        <v>2063</v>
      </c>
      <c r="E210" s="4" t="s">
        <v>84</v>
      </c>
      <c r="F210" s="4" t="s">
        <v>83</v>
      </c>
      <c r="G210" s="10" t="n">
        <v>3696.57</v>
      </c>
      <c r="H210" s="10" t="n">
        <v>3696.57</v>
      </c>
      <c r="I210" s="10" t="n">
        <f aca="false">ROUND(H210-G210, 2)</f>
        <v>0</v>
      </c>
      <c r="J210" s="10" t="n">
        <f aca="false">IF(L210="RESOLVED", 0, ABS(I210))</f>
        <v>0</v>
      </c>
      <c r="K210" s="6" t="n">
        <v>46</v>
      </c>
      <c r="L210" s="24" t="s">
        <v>2352</v>
      </c>
    </row>
    <row r="211" customFormat="false" ht="18.75" hidden="false" customHeight="true" outlineLevel="0" collapsed="false">
      <c r="A211" s="7" t="s">
        <v>2570</v>
      </c>
      <c r="B211" s="7" t="s">
        <v>2571</v>
      </c>
      <c r="C211" s="7" t="s">
        <v>145</v>
      </c>
      <c r="D211" s="7" t="s">
        <v>2067</v>
      </c>
      <c r="E211" s="7" t="s">
        <v>84</v>
      </c>
      <c r="F211" s="7" t="s">
        <v>83</v>
      </c>
      <c r="G211" s="12" t="n">
        <v>3831.13</v>
      </c>
      <c r="H211" s="12" t="n">
        <v>3831.13</v>
      </c>
      <c r="I211" s="12" t="n">
        <f aca="false">ROUND(H211-G211, 2)</f>
        <v>0</v>
      </c>
      <c r="J211" s="12" t="n">
        <f aca="false">IF(L211="RESOLVED", 0, ABS(I211))</f>
        <v>0</v>
      </c>
      <c r="K211" s="8" t="n">
        <v>45</v>
      </c>
      <c r="L211" s="24" t="s">
        <v>2352</v>
      </c>
    </row>
    <row r="212" customFormat="false" ht="18.75" hidden="false" customHeight="true" outlineLevel="0" collapsed="false">
      <c r="A212" s="4" t="s">
        <v>2572</v>
      </c>
      <c r="B212" s="4" t="s">
        <v>2573</v>
      </c>
      <c r="C212" s="4" t="s">
        <v>150</v>
      </c>
      <c r="D212" s="4" t="s">
        <v>2071</v>
      </c>
      <c r="E212" s="4" t="s">
        <v>84</v>
      </c>
      <c r="F212" s="4" t="s">
        <v>83</v>
      </c>
      <c r="G212" s="10" t="n">
        <v>4011.26</v>
      </c>
      <c r="H212" s="10" t="n">
        <v>4011.26</v>
      </c>
      <c r="I212" s="10" t="n">
        <f aca="false">ROUND(H212-G212, 2)</f>
        <v>0</v>
      </c>
      <c r="J212" s="10" t="n">
        <f aca="false">IF(L212="RESOLVED", 0, ABS(I212))</f>
        <v>0</v>
      </c>
      <c r="K212" s="6" t="n">
        <v>44</v>
      </c>
      <c r="L212" s="24" t="s">
        <v>2352</v>
      </c>
    </row>
    <row r="213" customFormat="false" ht="18.75" hidden="false" customHeight="true" outlineLevel="0" collapsed="false">
      <c r="A213" s="7" t="s">
        <v>2574</v>
      </c>
      <c r="B213" s="7" t="s">
        <v>2575</v>
      </c>
      <c r="C213" s="7" t="s">
        <v>155</v>
      </c>
      <c r="D213" s="7" t="s">
        <v>2074</v>
      </c>
      <c r="E213" s="7" t="s">
        <v>84</v>
      </c>
      <c r="F213" s="7" t="s">
        <v>83</v>
      </c>
      <c r="G213" s="12" t="n">
        <v>4193.97</v>
      </c>
      <c r="H213" s="12" t="n">
        <v>4193.97</v>
      </c>
      <c r="I213" s="12" t="n">
        <f aca="false">ROUND(H213-G213, 2)</f>
        <v>0</v>
      </c>
      <c r="J213" s="12" t="n">
        <f aca="false">IF(L213="RESOLVED", 0, ABS(I213))</f>
        <v>0</v>
      </c>
      <c r="K213" s="8" t="n">
        <v>43</v>
      </c>
      <c r="L213" s="24" t="s">
        <v>2352</v>
      </c>
    </row>
    <row r="214" customFormat="false" ht="18.75" hidden="false" customHeight="true" outlineLevel="0" collapsed="false">
      <c r="A214" s="4" t="s">
        <v>2576</v>
      </c>
      <c r="B214" s="4" t="s">
        <v>2577</v>
      </c>
      <c r="C214" s="4" t="s">
        <v>160</v>
      </c>
      <c r="D214" s="4" t="s">
        <v>2063</v>
      </c>
      <c r="E214" s="4" t="s">
        <v>84</v>
      </c>
      <c r="F214" s="4" t="s">
        <v>83</v>
      </c>
      <c r="G214" s="10" t="n">
        <v>4344.43</v>
      </c>
      <c r="H214" s="10" t="n">
        <v>4344.43</v>
      </c>
      <c r="I214" s="10" t="n">
        <f aca="false">ROUND(H214-G214, 2)</f>
        <v>0</v>
      </c>
      <c r="J214" s="10" t="n">
        <f aca="false">IF(L214="RESOLVED", 0, ABS(I214))</f>
        <v>0</v>
      </c>
      <c r="K214" s="6" t="n">
        <v>42</v>
      </c>
      <c r="L214" s="24" t="s">
        <v>2352</v>
      </c>
    </row>
    <row r="215" customFormat="false" ht="18.75" hidden="false" customHeight="true" outlineLevel="0" collapsed="false">
      <c r="A215" s="7" t="s">
        <v>2578</v>
      </c>
      <c r="B215" s="7" t="s">
        <v>2579</v>
      </c>
      <c r="C215" s="7" t="s">
        <v>165</v>
      </c>
      <c r="D215" s="7" t="s">
        <v>2067</v>
      </c>
      <c r="E215" s="7" t="s">
        <v>84</v>
      </c>
      <c r="F215" s="7" t="s">
        <v>83</v>
      </c>
      <c r="G215" s="12" t="n">
        <v>4536.34</v>
      </c>
      <c r="H215" s="12" t="n">
        <v>4536.34</v>
      </c>
      <c r="I215" s="12" t="n">
        <f aca="false">ROUND(H215-G215, 2)</f>
        <v>0</v>
      </c>
      <c r="J215" s="12" t="n">
        <f aca="false">IF(L215="RESOLVED", 0, ABS(I215))</f>
        <v>0</v>
      </c>
      <c r="K215" s="8" t="n">
        <v>41</v>
      </c>
      <c r="L215" s="24" t="s">
        <v>2352</v>
      </c>
    </row>
    <row r="216" customFormat="false" ht="18.75" hidden="false" customHeight="true" outlineLevel="0" collapsed="false">
      <c r="A216" s="4" t="s">
        <v>2580</v>
      </c>
      <c r="B216" s="4" t="s">
        <v>2581</v>
      </c>
      <c r="C216" s="4" t="s">
        <v>170</v>
      </c>
      <c r="D216" s="4" t="s">
        <v>2071</v>
      </c>
      <c r="E216" s="4" t="s">
        <v>84</v>
      </c>
      <c r="F216" s="4" t="s">
        <v>83</v>
      </c>
      <c r="G216" s="10" t="n">
        <v>4650.35</v>
      </c>
      <c r="H216" s="10" t="n">
        <v>4650.35</v>
      </c>
      <c r="I216" s="10" t="n">
        <f aca="false">ROUND(H216-G216, 2)</f>
        <v>0</v>
      </c>
      <c r="J216" s="10" t="n">
        <f aca="false">IF(L216="RESOLVED", 0, ABS(I216))</f>
        <v>0</v>
      </c>
      <c r="K216" s="6" t="n">
        <v>40</v>
      </c>
      <c r="L216" s="24" t="s">
        <v>2352</v>
      </c>
    </row>
    <row r="217" customFormat="false" ht="18.75" hidden="false" customHeight="true" outlineLevel="0" collapsed="false">
      <c r="A217" s="7" t="s">
        <v>2582</v>
      </c>
      <c r="B217" s="7" t="s">
        <v>2583</v>
      </c>
      <c r="C217" s="7" t="s">
        <v>175</v>
      </c>
      <c r="D217" s="7" t="s">
        <v>2074</v>
      </c>
      <c r="E217" s="7" t="s">
        <v>84</v>
      </c>
      <c r="F217" s="7" t="s">
        <v>83</v>
      </c>
      <c r="G217" s="12" t="n">
        <v>4881.85</v>
      </c>
      <c r="H217" s="12" t="n">
        <v>4881.85</v>
      </c>
      <c r="I217" s="12" t="n">
        <f aca="false">ROUND(H217-G217, 2)</f>
        <v>0</v>
      </c>
      <c r="J217" s="12" t="n">
        <f aca="false">IF(L217="RESOLVED", 0, ABS(I217))</f>
        <v>0</v>
      </c>
      <c r="K217" s="8" t="n">
        <v>39</v>
      </c>
      <c r="L217" s="24" t="s">
        <v>2352</v>
      </c>
    </row>
    <row r="218" customFormat="false" ht="18.75" hidden="false" customHeight="true" outlineLevel="0" collapsed="false">
      <c r="A218" s="4" t="s">
        <v>2584</v>
      </c>
      <c r="B218" s="4" t="s">
        <v>2585</v>
      </c>
      <c r="C218" s="4" t="s">
        <v>180</v>
      </c>
      <c r="D218" s="4" t="s">
        <v>2063</v>
      </c>
      <c r="E218" s="4" t="s">
        <v>84</v>
      </c>
      <c r="F218" s="4" t="s">
        <v>83</v>
      </c>
      <c r="G218" s="10" t="n">
        <v>5014.6</v>
      </c>
      <c r="H218" s="10" t="n">
        <v>5014.6</v>
      </c>
      <c r="I218" s="10" t="n">
        <f aca="false">ROUND(H218-G218, 2)</f>
        <v>0</v>
      </c>
      <c r="J218" s="10" t="n">
        <f aca="false">IF(L218="RESOLVED", 0, ABS(I218))</f>
        <v>0</v>
      </c>
      <c r="K218" s="6" t="n">
        <v>38</v>
      </c>
      <c r="L218" s="24" t="s">
        <v>2352</v>
      </c>
    </row>
    <row r="219" customFormat="false" ht="18.75" hidden="false" customHeight="true" outlineLevel="0" collapsed="false">
      <c r="A219" s="7" t="s">
        <v>2586</v>
      </c>
      <c r="B219" s="7" t="s">
        <v>2587</v>
      </c>
      <c r="C219" s="7" t="s">
        <v>185</v>
      </c>
      <c r="D219" s="7" t="s">
        <v>2067</v>
      </c>
      <c r="E219" s="7" t="s">
        <v>84</v>
      </c>
      <c r="F219" s="7" t="s">
        <v>83</v>
      </c>
      <c r="G219" s="12" t="n">
        <v>5166.45</v>
      </c>
      <c r="H219" s="12" t="n">
        <v>5166.45</v>
      </c>
      <c r="I219" s="12" t="n">
        <f aca="false">ROUND(H219-G219, 2)</f>
        <v>0</v>
      </c>
      <c r="J219" s="12" t="n">
        <f aca="false">IF(L219="RESOLVED", 0, ABS(I219))</f>
        <v>0</v>
      </c>
      <c r="K219" s="8" t="n">
        <v>37</v>
      </c>
      <c r="L219" s="24" t="s">
        <v>2352</v>
      </c>
    </row>
    <row r="220" customFormat="false" ht="18.75" hidden="false" customHeight="true" outlineLevel="0" collapsed="false">
      <c r="A220" s="4" t="s">
        <v>2588</v>
      </c>
      <c r="B220" s="4" t="s">
        <v>2589</v>
      </c>
      <c r="C220" s="4" t="s">
        <v>190</v>
      </c>
      <c r="D220" s="4" t="s">
        <v>2071</v>
      </c>
      <c r="E220" s="4" t="s">
        <v>84</v>
      </c>
      <c r="F220" s="4" t="s">
        <v>83</v>
      </c>
      <c r="G220" s="10" t="n">
        <v>5375.07</v>
      </c>
      <c r="H220" s="10" t="n">
        <v>5375.07</v>
      </c>
      <c r="I220" s="10" t="n">
        <f aca="false">ROUND(H220-G220, 2)</f>
        <v>0</v>
      </c>
      <c r="J220" s="10" t="n">
        <f aca="false">IF(L220="RESOLVED", 0, ABS(I220))</f>
        <v>0</v>
      </c>
      <c r="K220" s="6" t="n">
        <v>36</v>
      </c>
      <c r="L220" s="24" t="s">
        <v>2352</v>
      </c>
    </row>
    <row r="221" customFormat="false" ht="18.75" hidden="false" customHeight="true" outlineLevel="0" collapsed="false">
      <c r="A221" s="7" t="s">
        <v>2590</v>
      </c>
      <c r="B221" s="7" t="s">
        <v>2591</v>
      </c>
      <c r="C221" s="7" t="s">
        <v>195</v>
      </c>
      <c r="D221" s="7" t="s">
        <v>2074</v>
      </c>
      <c r="E221" s="7" t="s">
        <v>84</v>
      </c>
      <c r="F221" s="7" t="s">
        <v>83</v>
      </c>
      <c r="G221" s="12" t="n">
        <v>5548.82</v>
      </c>
      <c r="H221" s="12" t="n">
        <v>5548.82</v>
      </c>
      <c r="I221" s="12" t="n">
        <f aca="false">ROUND(H221-G221, 2)</f>
        <v>0</v>
      </c>
      <c r="J221" s="12" t="n">
        <f aca="false">IF(L221="RESOLVED", 0, ABS(I221))</f>
        <v>0</v>
      </c>
      <c r="K221" s="8" t="n">
        <v>35</v>
      </c>
      <c r="L221" s="24" t="s">
        <v>2352</v>
      </c>
    </row>
    <row r="222" customFormat="false" ht="18.75" hidden="false" customHeight="true" outlineLevel="0" collapsed="false">
      <c r="A222" s="4" t="s">
        <v>2592</v>
      </c>
      <c r="B222" s="4" t="s">
        <v>2593</v>
      </c>
      <c r="C222" s="4" t="s">
        <v>200</v>
      </c>
      <c r="D222" s="4" t="s">
        <v>2063</v>
      </c>
      <c r="E222" s="4" t="s">
        <v>60</v>
      </c>
      <c r="F222" s="4" t="s">
        <v>61</v>
      </c>
      <c r="G222" s="10" t="n">
        <v>5703.4</v>
      </c>
      <c r="H222" s="10" t="n">
        <v>0</v>
      </c>
      <c r="I222" s="10" t="n">
        <f aca="false">ROUND(H222-G222, 2)</f>
        <v>-5703.4</v>
      </c>
      <c r="J222" s="10" t="n">
        <f aca="false">IF(L222="RESOLVED", 0, ABS(I222))</f>
        <v>0</v>
      </c>
      <c r="K222" s="6" t="n">
        <v>4</v>
      </c>
      <c r="L222" s="5" t="s">
        <v>2300</v>
      </c>
    </row>
    <row r="223" customFormat="false" ht="18.75" hidden="false" customHeight="true" outlineLevel="0" collapsed="false">
      <c r="A223" s="7" t="s">
        <v>2594</v>
      </c>
      <c r="B223" s="7" t="s">
        <v>2595</v>
      </c>
      <c r="C223" s="7" t="s">
        <v>205</v>
      </c>
      <c r="D223" s="7" t="s">
        <v>2067</v>
      </c>
      <c r="E223" s="7" t="s">
        <v>60</v>
      </c>
      <c r="F223" s="7" t="s">
        <v>61</v>
      </c>
      <c r="G223" s="12" t="n">
        <v>5851.04</v>
      </c>
      <c r="H223" s="12" t="n">
        <v>0</v>
      </c>
      <c r="I223" s="12" t="n">
        <f aca="false">ROUND(H223-G223, 2)</f>
        <v>-5851.04</v>
      </c>
      <c r="J223" s="12" t="n">
        <f aca="false">IF(L223="RESOLVED", 0, ABS(I223))</f>
        <v>0</v>
      </c>
      <c r="K223" s="8" t="n">
        <v>4</v>
      </c>
      <c r="L223" s="5" t="s">
        <v>2300</v>
      </c>
    </row>
    <row r="224" customFormat="false" ht="18.75" hidden="false" customHeight="true" outlineLevel="0" collapsed="false">
      <c r="A224" s="4" t="s">
        <v>2596</v>
      </c>
      <c r="B224" s="4" t="s">
        <v>2597</v>
      </c>
      <c r="C224" s="4" t="s">
        <v>210</v>
      </c>
      <c r="D224" s="4" t="s">
        <v>2071</v>
      </c>
      <c r="E224" s="4" t="s">
        <v>60</v>
      </c>
      <c r="F224" s="4" t="s">
        <v>61</v>
      </c>
      <c r="G224" s="10" t="n">
        <v>6061.23</v>
      </c>
      <c r="H224" s="10" t="n">
        <v>0</v>
      </c>
      <c r="I224" s="10" t="n">
        <f aca="false">ROUND(H224-G224, 2)</f>
        <v>-6061.23</v>
      </c>
      <c r="J224" s="10" t="n">
        <f aca="false">IF(L224="RESOLVED", 0, ABS(I224))</f>
        <v>0</v>
      </c>
      <c r="K224" s="6" t="n">
        <v>4</v>
      </c>
      <c r="L224" s="5" t="s">
        <v>2300</v>
      </c>
    </row>
    <row r="225" customFormat="false" ht="18.75" hidden="false" customHeight="true" outlineLevel="0" collapsed="false">
      <c r="A225" s="7" t="s">
        <v>2598</v>
      </c>
      <c r="B225" s="7" t="s">
        <v>2599</v>
      </c>
      <c r="C225" s="7" t="s">
        <v>215</v>
      </c>
      <c r="D225" s="7" t="s">
        <v>2074</v>
      </c>
      <c r="E225" s="7" t="s">
        <v>60</v>
      </c>
      <c r="F225" s="7" t="s">
        <v>61</v>
      </c>
      <c r="G225" s="12" t="n">
        <v>6180.75</v>
      </c>
      <c r="H225" s="12" t="n">
        <v>0</v>
      </c>
      <c r="I225" s="12" t="n">
        <f aca="false">ROUND(H225-G225, 2)</f>
        <v>-6180.75</v>
      </c>
      <c r="J225" s="12" t="n">
        <f aca="false">IF(L225="RESOLVED", 0, ABS(I225))</f>
        <v>0</v>
      </c>
      <c r="K225" s="8" t="n">
        <v>4</v>
      </c>
      <c r="L225" s="5" t="s">
        <v>2300</v>
      </c>
    </row>
    <row r="226" customFormat="false" ht="18.75" hidden="false" customHeight="true" outlineLevel="0" collapsed="false">
      <c r="A226" s="4" t="s">
        <v>2600</v>
      </c>
      <c r="B226" s="4" t="s">
        <v>2601</v>
      </c>
      <c r="C226" s="4" t="s">
        <v>220</v>
      </c>
      <c r="D226" s="4" t="s">
        <v>2063</v>
      </c>
      <c r="E226" s="4" t="s">
        <v>60</v>
      </c>
      <c r="F226" s="4" t="s">
        <v>61</v>
      </c>
      <c r="G226" s="10" t="n">
        <v>6407.98</v>
      </c>
      <c r="H226" s="10" t="n">
        <v>0</v>
      </c>
      <c r="I226" s="10" t="n">
        <f aca="false">ROUND(H226-G226, 2)</f>
        <v>-6407.98</v>
      </c>
      <c r="J226" s="10" t="n">
        <f aca="false">IF(L226="RESOLVED", 0, ABS(I226))</f>
        <v>0</v>
      </c>
      <c r="K226" s="6" t="n">
        <v>4</v>
      </c>
      <c r="L226" s="5" t="s">
        <v>2300</v>
      </c>
    </row>
    <row r="227" customFormat="false" ht="18.75" hidden="false" customHeight="true" outlineLevel="0" collapsed="false">
      <c r="A227" s="7" t="s">
        <v>2602</v>
      </c>
      <c r="B227" s="7" t="s">
        <v>2603</v>
      </c>
      <c r="C227" s="7" t="s">
        <v>99</v>
      </c>
      <c r="D227" s="7" t="s">
        <v>2063</v>
      </c>
      <c r="E227" s="7" t="s">
        <v>60</v>
      </c>
      <c r="F227" s="7" t="s">
        <v>61</v>
      </c>
      <c r="G227" s="12" t="n">
        <v>6553.91</v>
      </c>
      <c r="H227" s="12" t="n">
        <v>0</v>
      </c>
      <c r="I227" s="12" t="n">
        <f aca="false">ROUND(H227-G227, 2)</f>
        <v>-6553.91</v>
      </c>
      <c r="J227" s="12" t="n">
        <f aca="false">IF(L227="RESOLVED", 0, ABS(I227))</f>
        <v>0</v>
      </c>
      <c r="K227" s="8" t="n">
        <v>4</v>
      </c>
      <c r="L227" s="5" t="s">
        <v>2300</v>
      </c>
    </row>
    <row r="228" customFormat="false" ht="18.75" hidden="false" customHeight="true" outlineLevel="0" collapsed="false">
      <c r="A228" s="4" t="s">
        <v>2604</v>
      </c>
      <c r="B228" s="4" t="s">
        <v>2605</v>
      </c>
      <c r="C228" s="4" t="s">
        <v>105</v>
      </c>
      <c r="D228" s="4" t="s">
        <v>2067</v>
      </c>
      <c r="E228" s="4" t="s">
        <v>60</v>
      </c>
      <c r="F228" s="4" t="s">
        <v>61</v>
      </c>
      <c r="G228" s="10" t="n">
        <v>6756.53</v>
      </c>
      <c r="H228" s="10" t="n">
        <v>0</v>
      </c>
      <c r="I228" s="10" t="n">
        <f aca="false">ROUND(H228-G228, 2)</f>
        <v>-6756.53</v>
      </c>
      <c r="J228" s="10" t="n">
        <f aca="false">IF(L228="RESOLVED", 0, ABS(I228))</f>
        <v>0</v>
      </c>
      <c r="K228" s="6" t="n">
        <v>4</v>
      </c>
      <c r="L228" s="5" t="s">
        <v>2300</v>
      </c>
    </row>
    <row r="229" customFormat="false" ht="18.75" hidden="false" customHeight="true" outlineLevel="0" collapsed="false">
      <c r="A229" s="7" t="s">
        <v>2606</v>
      </c>
      <c r="B229" s="7" t="s">
        <v>2607</v>
      </c>
      <c r="C229" s="7" t="s">
        <v>110</v>
      </c>
      <c r="D229" s="7" t="s">
        <v>2071</v>
      </c>
      <c r="E229" s="7" t="s">
        <v>60</v>
      </c>
      <c r="F229" s="7" t="s">
        <v>61</v>
      </c>
      <c r="G229" s="12" t="n">
        <v>6857.72</v>
      </c>
      <c r="H229" s="12" t="n">
        <v>0</v>
      </c>
      <c r="I229" s="12" t="n">
        <f aca="false">ROUND(H229-G229, 2)</f>
        <v>-6857.72</v>
      </c>
      <c r="J229" s="12" t="n">
        <f aca="false">IF(L229="RESOLVED", 0, ABS(I229))</f>
        <v>0</v>
      </c>
      <c r="K229" s="8" t="n">
        <v>4</v>
      </c>
      <c r="L229" s="5" t="s">
        <v>2300</v>
      </c>
    </row>
    <row r="230" customFormat="false" ht="18.75" hidden="false" customHeight="true" outlineLevel="0" collapsed="false">
      <c r="A230" s="4" t="s">
        <v>2608</v>
      </c>
      <c r="B230" s="4" t="s">
        <v>2609</v>
      </c>
      <c r="C230" s="4" t="s">
        <v>115</v>
      </c>
      <c r="D230" s="4" t="s">
        <v>2074</v>
      </c>
      <c r="E230" s="4" t="s">
        <v>60</v>
      </c>
      <c r="F230" s="4" t="s">
        <v>61</v>
      </c>
      <c r="G230" s="10" t="n">
        <v>7066.02</v>
      </c>
      <c r="H230" s="10" t="n">
        <v>0</v>
      </c>
      <c r="I230" s="10" t="n">
        <f aca="false">ROUND(H230-G230, 2)</f>
        <v>-7066.02</v>
      </c>
      <c r="J230" s="10" t="n">
        <f aca="false">IF(L230="RESOLVED", 0, ABS(I230))</f>
        <v>0</v>
      </c>
      <c r="K230" s="6" t="n">
        <v>4</v>
      </c>
      <c r="L230" s="5" t="s">
        <v>2300</v>
      </c>
    </row>
    <row r="231" customFormat="false" ht="18.75" hidden="false" customHeight="true" outlineLevel="0" collapsed="false">
      <c r="A231" s="7" t="s">
        <v>2610</v>
      </c>
      <c r="B231" s="7" t="s">
        <v>2611</v>
      </c>
      <c r="C231" s="7" t="s">
        <v>120</v>
      </c>
      <c r="D231" s="7" t="s">
        <v>2063</v>
      </c>
      <c r="E231" s="7" t="s">
        <v>60</v>
      </c>
      <c r="F231" s="7" t="s">
        <v>61</v>
      </c>
      <c r="G231" s="12" t="n">
        <v>7213.33</v>
      </c>
      <c r="H231" s="12" t="n">
        <v>0</v>
      </c>
      <c r="I231" s="12" t="n">
        <f aca="false">ROUND(H231-G231, 2)</f>
        <v>-7213.33</v>
      </c>
      <c r="J231" s="12" t="n">
        <f aca="false">IF(L231="RESOLVED", 0, ABS(I231))</f>
        <v>0</v>
      </c>
      <c r="K231" s="8" t="n">
        <v>4</v>
      </c>
      <c r="L231" s="5" t="s">
        <v>2300</v>
      </c>
    </row>
    <row r="232" customFormat="false" ht="18.75" hidden="false" customHeight="true" outlineLevel="0" collapsed="false">
      <c r="A232" s="4" t="s">
        <v>2612</v>
      </c>
      <c r="B232" s="4" t="s">
        <v>2613</v>
      </c>
      <c r="C232" s="4" t="s">
        <v>125</v>
      </c>
      <c r="D232" s="4" t="s">
        <v>2067</v>
      </c>
      <c r="E232" s="4" t="s">
        <v>60</v>
      </c>
      <c r="F232" s="4" t="s">
        <v>61</v>
      </c>
      <c r="G232" s="10" t="n">
        <v>7392.04</v>
      </c>
      <c r="H232" s="10" t="n">
        <v>0</v>
      </c>
      <c r="I232" s="10" t="n">
        <f aca="false">ROUND(H232-G232, 2)</f>
        <v>-7392.04</v>
      </c>
      <c r="J232" s="10" t="n">
        <f aca="false">IF(L232="RESOLVED", 0, ABS(I232))</f>
        <v>0</v>
      </c>
      <c r="K232" s="6" t="n">
        <v>4</v>
      </c>
      <c r="L232" s="5" t="s">
        <v>2300</v>
      </c>
    </row>
    <row r="233" customFormat="false" ht="18.75" hidden="false" customHeight="true" outlineLevel="0" collapsed="false">
      <c r="A233" s="7" t="s">
        <v>2614</v>
      </c>
      <c r="B233" s="7" t="s">
        <v>2615</v>
      </c>
      <c r="C233" s="7" t="s">
        <v>130</v>
      </c>
      <c r="D233" s="7" t="s">
        <v>2071</v>
      </c>
      <c r="E233" s="7" t="s">
        <v>60</v>
      </c>
      <c r="F233" s="7" t="s">
        <v>61</v>
      </c>
      <c r="G233" s="12" t="n">
        <v>7597.58</v>
      </c>
      <c r="H233" s="12" t="n">
        <v>0</v>
      </c>
      <c r="I233" s="12" t="n">
        <f aca="false">ROUND(H233-G233, 2)</f>
        <v>-7597.58</v>
      </c>
      <c r="J233" s="12" t="n">
        <f aca="false">IF(L233="RESOLVED", 0, ABS(I233))</f>
        <v>0</v>
      </c>
      <c r="K233" s="8" t="n">
        <v>4</v>
      </c>
      <c r="L233" s="5" t="s">
        <v>2300</v>
      </c>
    </row>
    <row r="234" customFormat="false" ht="18.75" hidden="false" customHeight="true" outlineLevel="0" collapsed="false">
      <c r="A234" s="4" t="s">
        <v>2616</v>
      </c>
      <c r="B234" s="4" t="s">
        <v>2617</v>
      </c>
      <c r="C234" s="4" t="s">
        <v>135</v>
      </c>
      <c r="D234" s="4" t="s">
        <v>2074</v>
      </c>
      <c r="E234" s="4" t="s">
        <v>60</v>
      </c>
      <c r="F234" s="4" t="s">
        <v>61</v>
      </c>
      <c r="G234" s="10" t="n">
        <v>7681.44</v>
      </c>
      <c r="H234" s="10" t="n">
        <v>0</v>
      </c>
      <c r="I234" s="10" t="n">
        <f aca="false">ROUND(H234-G234, 2)</f>
        <v>-7681.44</v>
      </c>
      <c r="J234" s="10" t="n">
        <f aca="false">IF(L234="RESOLVED", 0, ABS(I234))</f>
        <v>0</v>
      </c>
      <c r="K234" s="6" t="n">
        <v>4</v>
      </c>
      <c r="L234" s="5" t="s">
        <v>2300</v>
      </c>
    </row>
    <row r="235" customFormat="false" ht="18.75" hidden="false" customHeight="true" outlineLevel="0" collapsed="false">
      <c r="A235" s="7" t="s">
        <v>2618</v>
      </c>
      <c r="B235" s="7" t="s">
        <v>2619</v>
      </c>
      <c r="C235" s="7" t="s">
        <v>140</v>
      </c>
      <c r="D235" s="7" t="s">
        <v>2063</v>
      </c>
      <c r="E235" s="7" t="s">
        <v>60</v>
      </c>
      <c r="F235" s="7" t="s">
        <v>61</v>
      </c>
      <c r="G235" s="12" t="n">
        <v>7952.92</v>
      </c>
      <c r="H235" s="12" t="n">
        <v>0</v>
      </c>
      <c r="I235" s="12" t="n">
        <f aca="false">ROUND(H235-G235, 2)</f>
        <v>-7952.92</v>
      </c>
      <c r="J235" s="12" t="n">
        <f aca="false">IF(L235="RESOLVED", 0, ABS(I235))</f>
        <v>0</v>
      </c>
      <c r="K235" s="8" t="n">
        <v>4</v>
      </c>
      <c r="L235" s="5" t="s">
        <v>2300</v>
      </c>
    </row>
    <row r="236" customFormat="false" ht="18.75" hidden="false" customHeight="true" outlineLevel="0" collapsed="false">
      <c r="A236" s="4" t="s">
        <v>2620</v>
      </c>
      <c r="B236" s="4" t="s">
        <v>2621</v>
      </c>
      <c r="C236" s="4" t="s">
        <v>145</v>
      </c>
      <c r="D236" s="4" t="s">
        <v>2067</v>
      </c>
      <c r="E236" s="4" t="s">
        <v>60</v>
      </c>
      <c r="F236" s="4" t="s">
        <v>61</v>
      </c>
      <c r="G236" s="10" t="n">
        <v>8048.23</v>
      </c>
      <c r="H236" s="10" t="n">
        <v>0</v>
      </c>
      <c r="I236" s="10" t="n">
        <f aca="false">ROUND(H236-G236, 2)</f>
        <v>-8048.23</v>
      </c>
      <c r="J236" s="10" t="n">
        <f aca="false">IF(L236="RESOLVED", 0, ABS(I236))</f>
        <v>0</v>
      </c>
      <c r="K236" s="6" t="n">
        <v>4</v>
      </c>
      <c r="L236" s="5" t="s">
        <v>2300</v>
      </c>
    </row>
    <row r="237" customFormat="false" ht="18.75" hidden="false" customHeight="true" outlineLevel="0" collapsed="false">
      <c r="A237" s="7" t="s">
        <v>2622</v>
      </c>
      <c r="B237" s="7" t="s">
        <v>2623</v>
      </c>
      <c r="C237" s="7" t="s">
        <v>150</v>
      </c>
      <c r="D237" s="7" t="s">
        <v>2071</v>
      </c>
      <c r="E237" s="7" t="s">
        <v>60</v>
      </c>
      <c r="F237" s="7" t="s">
        <v>61</v>
      </c>
      <c r="G237" s="12" t="n">
        <v>8242.08</v>
      </c>
      <c r="H237" s="12" t="n">
        <v>0</v>
      </c>
      <c r="I237" s="12" t="n">
        <f aca="false">ROUND(H237-G237, 2)</f>
        <v>-8242.08</v>
      </c>
      <c r="J237" s="12" t="n">
        <f aca="false">IF(L237="RESOLVED", 0, ABS(I237))</f>
        <v>0</v>
      </c>
      <c r="K237" s="8" t="n">
        <v>4</v>
      </c>
      <c r="L237" s="5" t="s">
        <v>2300</v>
      </c>
    </row>
    <row r="238" customFormat="false" ht="18.75" hidden="false" customHeight="true" outlineLevel="0" collapsed="false">
      <c r="A238" s="4" t="s">
        <v>2624</v>
      </c>
      <c r="B238" s="4" t="s">
        <v>2625</v>
      </c>
      <c r="C238" s="4" t="s">
        <v>155</v>
      </c>
      <c r="D238" s="4" t="s">
        <v>2074</v>
      </c>
      <c r="E238" s="4" t="s">
        <v>60</v>
      </c>
      <c r="F238" s="4" t="s">
        <v>61</v>
      </c>
      <c r="G238" s="10" t="n">
        <v>8437.56</v>
      </c>
      <c r="H238" s="10" t="n">
        <v>0</v>
      </c>
      <c r="I238" s="10" t="n">
        <f aca="false">ROUND(H238-G238, 2)</f>
        <v>-8437.56</v>
      </c>
      <c r="J238" s="10" t="n">
        <f aca="false">IF(L238="RESOLVED", 0, ABS(I238))</f>
        <v>0</v>
      </c>
      <c r="K238" s="6" t="n">
        <v>4</v>
      </c>
      <c r="L238" s="5" t="s">
        <v>2300</v>
      </c>
    </row>
    <row r="239" customFormat="false" ht="18.75" hidden="false" customHeight="true" outlineLevel="0" collapsed="false">
      <c r="A239" s="7" t="s">
        <v>2626</v>
      </c>
      <c r="B239" s="7" t="s">
        <v>2627</v>
      </c>
      <c r="C239" s="7" t="s">
        <v>160</v>
      </c>
      <c r="D239" s="7" t="s">
        <v>2063</v>
      </c>
      <c r="E239" s="7" t="s">
        <v>60</v>
      </c>
      <c r="F239" s="7" t="s">
        <v>61</v>
      </c>
      <c r="G239" s="12" t="n">
        <v>8569.18</v>
      </c>
      <c r="H239" s="12" t="n">
        <v>0</v>
      </c>
      <c r="I239" s="12" t="n">
        <f aca="false">ROUND(H239-G239, 2)</f>
        <v>-8569.18</v>
      </c>
      <c r="J239" s="12" t="n">
        <f aca="false">IF(L239="RESOLVED", 0, ABS(I239))</f>
        <v>0</v>
      </c>
      <c r="K239" s="8" t="n">
        <v>4</v>
      </c>
      <c r="L239" s="5" t="s">
        <v>2300</v>
      </c>
    </row>
    <row r="240" customFormat="false" ht="18.75" hidden="false" customHeight="true" outlineLevel="0" collapsed="false">
      <c r="A240" s="4" t="s">
        <v>2628</v>
      </c>
      <c r="B240" s="4" t="s">
        <v>2629</v>
      </c>
      <c r="C240" s="4" t="s">
        <v>165</v>
      </c>
      <c r="D240" s="4" t="s">
        <v>2067</v>
      </c>
      <c r="E240" s="4" t="s">
        <v>60</v>
      </c>
      <c r="F240" s="4" t="s">
        <v>61</v>
      </c>
      <c r="G240" s="10" t="n">
        <v>8782.49</v>
      </c>
      <c r="H240" s="10" t="n">
        <v>0</v>
      </c>
      <c r="I240" s="10" t="n">
        <f aca="false">ROUND(H240-G240, 2)</f>
        <v>-8782.49</v>
      </c>
      <c r="J240" s="10" t="n">
        <f aca="false">IF(L240="RESOLVED", 0, ABS(I240))</f>
        <v>0</v>
      </c>
      <c r="K240" s="6" t="n">
        <v>4</v>
      </c>
      <c r="L240" s="5" t="s">
        <v>2300</v>
      </c>
    </row>
    <row r="241" customFormat="false" ht="18.75" hidden="false" customHeight="true" outlineLevel="0" collapsed="false">
      <c r="A241" s="7" t="s">
        <v>2630</v>
      </c>
      <c r="B241" s="7" t="s">
        <v>2631</v>
      </c>
      <c r="C241" s="7" t="s">
        <v>170</v>
      </c>
      <c r="D241" s="7" t="s">
        <v>2071</v>
      </c>
      <c r="E241" s="7" t="s">
        <v>60</v>
      </c>
      <c r="F241" s="7" t="s">
        <v>61</v>
      </c>
      <c r="G241" s="12" t="n">
        <v>8848</v>
      </c>
      <c r="H241" s="12" t="n">
        <v>0</v>
      </c>
      <c r="I241" s="12" t="n">
        <f aca="false">ROUND(H241-G241, 2)</f>
        <v>-8848</v>
      </c>
      <c r="J241" s="12" t="n">
        <f aca="false">IF(L241="RESOLVED", 0, ABS(I241))</f>
        <v>0</v>
      </c>
      <c r="K241" s="8" t="n">
        <v>4</v>
      </c>
      <c r="L241" s="5" t="s">
        <v>2300</v>
      </c>
    </row>
    <row r="242" customFormat="false" ht="18.75" hidden="false" customHeight="true" outlineLevel="0" collapsed="false">
      <c r="A242" s="4" t="s">
        <v>2632</v>
      </c>
      <c r="B242" s="4" t="s">
        <v>2633</v>
      </c>
      <c r="C242" s="4" t="s">
        <v>175</v>
      </c>
      <c r="D242" s="4" t="s">
        <v>2074</v>
      </c>
      <c r="E242" s="4" t="s">
        <v>60</v>
      </c>
      <c r="F242" s="4" t="s">
        <v>61</v>
      </c>
      <c r="G242" s="10" t="n">
        <v>9133.1</v>
      </c>
      <c r="H242" s="10" t="n">
        <v>0</v>
      </c>
      <c r="I242" s="10" t="n">
        <f aca="false">ROUND(H242-G242, 2)</f>
        <v>-9133.1</v>
      </c>
      <c r="J242" s="10" t="n">
        <f aca="false">IF(L242="RESOLVED", 0, ABS(I242))</f>
        <v>0</v>
      </c>
      <c r="K242" s="6" t="n">
        <v>4</v>
      </c>
      <c r="L242" s="5" t="s">
        <v>2300</v>
      </c>
    </row>
    <row r="243" customFormat="false" ht="18.75" hidden="false" customHeight="true" outlineLevel="0" collapsed="false">
      <c r="A243" s="7" t="s">
        <v>2634</v>
      </c>
      <c r="B243" s="7" t="s">
        <v>2635</v>
      </c>
      <c r="C243" s="7" t="s">
        <v>180</v>
      </c>
      <c r="D243" s="7" t="s">
        <v>2063</v>
      </c>
      <c r="E243" s="7" t="s">
        <v>60</v>
      </c>
      <c r="F243" s="7" t="s">
        <v>61</v>
      </c>
      <c r="G243" s="12" t="n">
        <v>9234.24</v>
      </c>
      <c r="H243" s="12" t="n">
        <v>0</v>
      </c>
      <c r="I243" s="12" t="n">
        <f aca="false">ROUND(H243-G243, 2)</f>
        <v>-9234.24</v>
      </c>
      <c r="J243" s="12" t="n">
        <f aca="false">IF(L243="RESOLVED", 0, ABS(I243))</f>
        <v>0</v>
      </c>
      <c r="K243" s="8" t="n">
        <v>4</v>
      </c>
      <c r="L243" s="5" t="s">
        <v>2300</v>
      </c>
    </row>
    <row r="244" customFormat="false" ht="18.75" hidden="false" customHeight="true" outlineLevel="0" collapsed="false">
      <c r="A244" s="4" t="s">
        <v>2636</v>
      </c>
      <c r="B244" s="4" t="s">
        <v>2637</v>
      </c>
      <c r="C244" s="4" t="s">
        <v>185</v>
      </c>
      <c r="D244" s="4" t="s">
        <v>2067</v>
      </c>
      <c r="E244" s="4" t="s">
        <v>60</v>
      </c>
      <c r="F244" s="4" t="s">
        <v>61</v>
      </c>
      <c r="G244" s="10" t="n">
        <v>9374.31</v>
      </c>
      <c r="H244" s="10" t="n">
        <v>0</v>
      </c>
      <c r="I244" s="10" t="n">
        <f aca="false">ROUND(H244-G244, 2)</f>
        <v>-9374.31</v>
      </c>
      <c r="J244" s="10" t="n">
        <f aca="false">IF(L244="RESOLVED", 0, ABS(I244))</f>
        <v>0</v>
      </c>
      <c r="K244" s="6" t="n">
        <v>4</v>
      </c>
      <c r="L244" s="5" t="s">
        <v>2300</v>
      </c>
    </row>
    <row r="245" customFormat="false" ht="18.75" hidden="false" customHeight="true" outlineLevel="0" collapsed="false">
      <c r="A245" s="7" t="s">
        <v>2638</v>
      </c>
      <c r="B245" s="7" t="s">
        <v>2639</v>
      </c>
      <c r="C245" s="7" t="s">
        <v>190</v>
      </c>
      <c r="D245" s="7" t="s">
        <v>2071</v>
      </c>
      <c r="E245" s="7" t="s">
        <v>60</v>
      </c>
      <c r="F245" s="7" t="s">
        <v>61</v>
      </c>
      <c r="G245" s="12" t="n">
        <v>9613.55</v>
      </c>
      <c r="H245" s="12" t="n">
        <v>0</v>
      </c>
      <c r="I245" s="12" t="n">
        <f aca="false">ROUND(H245-G245, 2)</f>
        <v>-9613.55</v>
      </c>
      <c r="J245" s="12" t="n">
        <f aca="false">IF(L245="RESOLVED", 0, ABS(I245))</f>
        <v>0</v>
      </c>
      <c r="K245" s="8" t="n">
        <v>4</v>
      </c>
      <c r="L245" s="5" t="s">
        <v>2300</v>
      </c>
    </row>
    <row r="246" customFormat="false" ht="18.75" hidden="false" customHeight="true" outlineLevel="0" collapsed="false">
      <c r="A246" s="4" t="s">
        <v>2640</v>
      </c>
      <c r="B246" s="4" t="s">
        <v>2641</v>
      </c>
      <c r="C246" s="4" t="s">
        <v>195</v>
      </c>
      <c r="D246" s="4" t="s">
        <v>2074</v>
      </c>
      <c r="E246" s="4" t="s">
        <v>60</v>
      </c>
      <c r="F246" s="4" t="s">
        <v>61</v>
      </c>
      <c r="G246" s="10" t="n">
        <v>9788.87</v>
      </c>
      <c r="H246" s="10" t="n">
        <v>0</v>
      </c>
      <c r="I246" s="10" t="n">
        <f aca="false">ROUND(H246-G246, 2)</f>
        <v>-9788.87</v>
      </c>
      <c r="J246" s="10" t="n">
        <f aca="false">IF(L246="RESOLVED", 0, ABS(I246))</f>
        <v>0</v>
      </c>
      <c r="K246" s="6" t="n">
        <v>4</v>
      </c>
      <c r="L246" s="5" t="s">
        <v>2300</v>
      </c>
    </row>
    <row r="247" customFormat="false" ht="18.75" hidden="false" customHeight="true" outlineLevel="0" collapsed="false">
      <c r="A247" s="7" t="s">
        <v>2642</v>
      </c>
      <c r="B247" s="7" t="s">
        <v>2643</v>
      </c>
      <c r="C247" s="7" t="s">
        <v>200</v>
      </c>
      <c r="D247" s="7" t="s">
        <v>2063</v>
      </c>
      <c r="E247" s="7" t="s">
        <v>60</v>
      </c>
      <c r="F247" s="7" t="s">
        <v>61</v>
      </c>
      <c r="G247" s="12" t="n">
        <v>9934.22</v>
      </c>
      <c r="H247" s="12" t="n">
        <v>0</v>
      </c>
      <c r="I247" s="12" t="n">
        <f aca="false">ROUND(H247-G247, 2)</f>
        <v>-9934.22</v>
      </c>
      <c r="J247" s="12" t="n">
        <f aca="false">IF(L247="RESOLVED", 0, ABS(I247))</f>
        <v>9934.22</v>
      </c>
      <c r="K247" s="8" t="n">
        <v>9</v>
      </c>
      <c r="L247" s="24" t="s">
        <v>2352</v>
      </c>
    </row>
    <row r="248" customFormat="false" ht="18.75" hidden="false" customHeight="true" outlineLevel="0" collapsed="false">
      <c r="A248" s="4" t="s">
        <v>2644</v>
      </c>
      <c r="B248" s="4" t="s">
        <v>2645</v>
      </c>
      <c r="C248" s="4" t="s">
        <v>205</v>
      </c>
      <c r="D248" s="4" t="s">
        <v>2067</v>
      </c>
      <c r="E248" s="4" t="s">
        <v>60</v>
      </c>
      <c r="F248" s="4" t="s">
        <v>61</v>
      </c>
      <c r="G248" s="10" t="n">
        <v>10066.57</v>
      </c>
      <c r="H248" s="10" t="n">
        <v>0</v>
      </c>
      <c r="I248" s="10" t="n">
        <f aca="false">ROUND(H248-G248, 2)</f>
        <v>-10066.57</v>
      </c>
      <c r="J248" s="10" t="n">
        <f aca="false">IF(L248="RESOLVED", 0, ABS(I248))</f>
        <v>10066.57</v>
      </c>
      <c r="K248" s="6" t="n">
        <v>8</v>
      </c>
      <c r="L248" s="24" t="s">
        <v>2352</v>
      </c>
    </row>
    <row r="249" customFormat="false" ht="18.75" hidden="false" customHeight="true" outlineLevel="0" collapsed="false">
      <c r="A249" s="7" t="s">
        <v>2646</v>
      </c>
      <c r="B249" s="7" t="s">
        <v>2647</v>
      </c>
      <c r="C249" s="7" t="s">
        <v>210</v>
      </c>
      <c r="D249" s="7" t="s">
        <v>2071</v>
      </c>
      <c r="E249" s="7" t="s">
        <v>60</v>
      </c>
      <c r="F249" s="7" t="s">
        <v>61</v>
      </c>
      <c r="G249" s="12" t="n">
        <v>10304.82</v>
      </c>
      <c r="H249" s="12" t="n">
        <v>0</v>
      </c>
      <c r="I249" s="12" t="n">
        <f aca="false">ROUND(H249-G249, 2)</f>
        <v>-10304.82</v>
      </c>
      <c r="J249" s="12" t="n">
        <f aca="false">IF(L249="RESOLVED", 0, ABS(I249))</f>
        <v>10304.82</v>
      </c>
      <c r="K249" s="8" t="n">
        <v>7</v>
      </c>
      <c r="L249" s="24" t="s">
        <v>2352</v>
      </c>
    </row>
    <row r="250" customFormat="false" ht="18.75" hidden="false" customHeight="true" outlineLevel="0" collapsed="false">
      <c r="A250" s="4" t="s">
        <v>2648</v>
      </c>
      <c r="B250" s="4" t="s">
        <v>2649</v>
      </c>
      <c r="C250" s="4" t="s">
        <v>215</v>
      </c>
      <c r="D250" s="4" t="s">
        <v>2074</v>
      </c>
      <c r="E250" s="4" t="s">
        <v>60</v>
      </c>
      <c r="F250" s="4" t="s">
        <v>61</v>
      </c>
      <c r="G250" s="10" t="n">
        <v>10390.19</v>
      </c>
      <c r="H250" s="10" t="n">
        <v>0</v>
      </c>
      <c r="I250" s="10" t="n">
        <f aca="false">ROUND(H250-G250, 2)</f>
        <v>-10390.19</v>
      </c>
      <c r="J250" s="10" t="n">
        <f aca="false">IF(L250="RESOLVED", 0, ABS(I250))</f>
        <v>10390.19</v>
      </c>
      <c r="K250" s="6" t="n">
        <v>6</v>
      </c>
      <c r="L250" s="24" t="s">
        <v>2352</v>
      </c>
    </row>
    <row r="251" customFormat="false" ht="18.75" hidden="false" customHeight="true" outlineLevel="0" collapsed="false">
      <c r="A251" s="7" t="s">
        <v>2650</v>
      </c>
      <c r="B251" s="7" t="s">
        <v>2651</v>
      </c>
      <c r="C251" s="7" t="s">
        <v>220</v>
      </c>
      <c r="D251" s="7" t="s">
        <v>2063</v>
      </c>
      <c r="E251" s="7" t="s">
        <v>60</v>
      </c>
      <c r="F251" s="7" t="s">
        <v>61</v>
      </c>
      <c r="G251" s="12" t="n">
        <v>10656.67</v>
      </c>
      <c r="H251" s="12" t="n">
        <v>0</v>
      </c>
      <c r="I251" s="12" t="n">
        <f aca="false">ROUND(H251-G251, 2)</f>
        <v>-10656.67</v>
      </c>
      <c r="J251" s="12" t="n">
        <f aca="false">IF(L251="RESOLVED", 0, ABS(I251))</f>
        <v>10656.67</v>
      </c>
      <c r="K251" s="8" t="n">
        <v>5</v>
      </c>
      <c r="L251" s="24" t="s">
        <v>2352</v>
      </c>
    </row>
    <row r="252" customFormat="false" ht="21.75" hidden="false" customHeight="true" outlineLevel="0" collapsed="false">
      <c r="A252" s="14" t="s">
        <v>85</v>
      </c>
      <c r="B252" s="14" t="s">
        <v>86</v>
      </c>
      <c r="C252" s="14" t="s">
        <v>86</v>
      </c>
      <c r="D252" s="14" t="s">
        <v>86</v>
      </c>
      <c r="E252" s="14" t="s">
        <v>86</v>
      </c>
      <c r="F252" s="14" t="s">
        <v>86</v>
      </c>
      <c r="G252" s="16" t="n">
        <f aca="false">SUM(G2:G251)</f>
        <v>2223365.97</v>
      </c>
      <c r="H252" s="16" t="n">
        <f aca="false">SUM(H2:H251)</f>
        <v>1978666</v>
      </c>
      <c r="I252" s="16" t="n">
        <f aca="false">SUM(I2:I251)</f>
        <v>-244699.97</v>
      </c>
      <c r="J252" s="16" t="n">
        <f aca="false">SUM(J2:J251)</f>
        <v>51352.47</v>
      </c>
      <c r="K252" s="15" t="n">
        <f aca="false">SUM(K2:K251)</f>
        <v>5705</v>
      </c>
      <c r="L252" s="2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25"/>
    <col collapsed="false" customWidth="true" hidden="false" outlineLevel="0" max="5" min="5" style="0" width="16"/>
    <col collapsed="false" customWidth="true" hidden="false" outlineLevel="0" max="7" min="6" style="0" width="38"/>
    <col collapsed="false" customWidth="true" hidden="false" outlineLevel="0" max="8" min="8" style="0" width="13"/>
  </cols>
  <sheetData>
    <row r="1" customFormat="false" ht="24" hidden="false" customHeight="true" outlineLevel="0" collapsed="false">
      <c r="A1" s="1" t="s">
        <v>2652</v>
      </c>
      <c r="B1" s="1" t="s">
        <v>2053</v>
      </c>
      <c r="C1" s="1" t="s">
        <v>2653</v>
      </c>
      <c r="D1" s="3" t="s">
        <v>2654</v>
      </c>
      <c r="E1" s="1" t="s">
        <v>2655</v>
      </c>
      <c r="F1" s="1" t="s">
        <v>2656</v>
      </c>
      <c r="G1" s="1" t="s">
        <v>2657</v>
      </c>
      <c r="H1" s="1" t="s">
        <v>92</v>
      </c>
    </row>
    <row r="2" customFormat="false" ht="18.75" hidden="false" customHeight="true" outlineLevel="0" collapsed="false">
      <c r="A2" s="4" t="s">
        <v>2658</v>
      </c>
      <c r="B2" s="4" t="s">
        <v>2659</v>
      </c>
      <c r="C2" s="4" t="s">
        <v>2660</v>
      </c>
      <c r="D2" s="10" t="n">
        <v>9955</v>
      </c>
      <c r="E2" s="4" t="s">
        <v>2661</v>
      </c>
      <c r="F2" s="4" t="s">
        <v>2662</v>
      </c>
      <c r="G2" s="4" t="s">
        <v>2663</v>
      </c>
      <c r="H2" s="4" t="s">
        <v>86</v>
      </c>
    </row>
    <row r="3" customFormat="false" ht="18.75" hidden="false" customHeight="true" outlineLevel="0" collapsed="false">
      <c r="A3" s="7" t="s">
        <v>2664</v>
      </c>
      <c r="B3" s="7" t="s">
        <v>2659</v>
      </c>
      <c r="C3" s="7" t="s">
        <v>2665</v>
      </c>
      <c r="D3" s="12" t="n">
        <v>9885</v>
      </c>
      <c r="E3" s="7" t="s">
        <v>2666</v>
      </c>
      <c r="F3" s="7" t="s">
        <v>2667</v>
      </c>
      <c r="G3" s="7" t="s">
        <v>2668</v>
      </c>
      <c r="H3" s="7" t="s">
        <v>102</v>
      </c>
    </row>
    <row r="4" customFormat="false" ht="18.75" hidden="false" customHeight="true" outlineLevel="0" collapsed="false">
      <c r="A4" s="4" t="s">
        <v>2669</v>
      </c>
      <c r="B4" s="4" t="s">
        <v>2659</v>
      </c>
      <c r="C4" s="4" t="s">
        <v>2670</v>
      </c>
      <c r="D4" s="10" t="n">
        <v>3200</v>
      </c>
      <c r="E4" s="4" t="s">
        <v>2671</v>
      </c>
      <c r="F4" s="4" t="s">
        <v>2672</v>
      </c>
      <c r="G4" s="4" t="s">
        <v>2673</v>
      </c>
      <c r="H4" s="4" t="s">
        <v>102</v>
      </c>
    </row>
    <row r="5" customFormat="false" ht="18.75" hidden="false" customHeight="true" outlineLevel="0" collapsed="false">
      <c r="A5" s="7" t="s">
        <v>2674</v>
      </c>
      <c r="B5" s="7" t="s">
        <v>2659</v>
      </c>
      <c r="C5" s="7" t="s">
        <v>2675</v>
      </c>
      <c r="D5" s="12" t="n">
        <v>25</v>
      </c>
      <c r="E5" s="7" t="s">
        <v>2676</v>
      </c>
      <c r="F5" s="7" t="s">
        <v>2677</v>
      </c>
      <c r="G5" s="7" t="s">
        <v>2678</v>
      </c>
      <c r="H5" s="7" t="s">
        <v>102</v>
      </c>
    </row>
    <row r="6" customFormat="false" ht="18.75" hidden="false" customHeight="true" outlineLevel="0" collapsed="false">
      <c r="A6" s="4" t="s">
        <v>2679</v>
      </c>
      <c r="B6" s="4" t="s">
        <v>2659</v>
      </c>
      <c r="C6" s="4" t="s">
        <v>2680</v>
      </c>
      <c r="D6" s="10" t="n">
        <v>10065</v>
      </c>
      <c r="E6" s="4" t="s">
        <v>2661</v>
      </c>
      <c r="F6" s="4" t="s">
        <v>2681</v>
      </c>
      <c r="G6" s="4" t="s">
        <v>2682</v>
      </c>
      <c r="H6" s="4" t="s">
        <v>102</v>
      </c>
    </row>
    <row r="7" customFormat="false" ht="18.75" hidden="false" customHeight="true" outlineLevel="0" collapsed="false">
      <c r="A7" s="7" t="s">
        <v>2683</v>
      </c>
      <c r="B7" s="7" t="s">
        <v>2659</v>
      </c>
      <c r="C7" s="7" t="s">
        <v>2684</v>
      </c>
      <c r="D7" s="12" t="n">
        <v>10070</v>
      </c>
      <c r="E7" s="7" t="s">
        <v>2661</v>
      </c>
      <c r="F7" s="7" t="s">
        <v>2685</v>
      </c>
      <c r="G7" s="7" t="s">
        <v>2686</v>
      </c>
      <c r="H7" s="7" t="s">
        <v>102</v>
      </c>
    </row>
    <row r="8" customFormat="false" ht="18.75" hidden="false" customHeight="true" outlineLevel="0" collapsed="false">
      <c r="A8" s="4" t="s">
        <v>2687</v>
      </c>
      <c r="B8" s="4" t="s">
        <v>2659</v>
      </c>
      <c r="C8" s="4" t="s">
        <v>2688</v>
      </c>
      <c r="D8" s="10" t="n">
        <v>250</v>
      </c>
      <c r="E8" s="4" t="s">
        <v>2661</v>
      </c>
      <c r="F8" s="4" t="s">
        <v>2689</v>
      </c>
      <c r="G8" s="4" t="s">
        <v>2690</v>
      </c>
      <c r="H8" s="4" t="s">
        <v>102</v>
      </c>
    </row>
    <row r="9" customFormat="false" ht="18.75" hidden="false" customHeight="true" outlineLevel="0" collapsed="false">
      <c r="A9" s="7" t="s">
        <v>2691</v>
      </c>
      <c r="B9" s="7" t="s">
        <v>2659</v>
      </c>
      <c r="C9" s="7" t="s">
        <v>2692</v>
      </c>
      <c r="D9" s="12" t="n">
        <v>10000</v>
      </c>
      <c r="E9" s="7" t="s">
        <v>2693</v>
      </c>
      <c r="F9" s="7" t="s">
        <v>2694</v>
      </c>
      <c r="G9" s="7" t="s">
        <v>2695</v>
      </c>
      <c r="H9" s="7" t="s">
        <v>102</v>
      </c>
    </row>
    <row r="10" customFormat="false" ht="18.75" hidden="false" customHeight="true" outlineLevel="0" collapsed="false">
      <c r="A10" s="4" t="s">
        <v>2696</v>
      </c>
      <c r="B10" s="4" t="s">
        <v>2659</v>
      </c>
      <c r="C10" s="4" t="s">
        <v>2697</v>
      </c>
      <c r="D10" s="10" t="n">
        <v>800</v>
      </c>
      <c r="E10" s="4" t="s">
        <v>2698</v>
      </c>
      <c r="F10" s="4" t="s">
        <v>2699</v>
      </c>
      <c r="G10" s="4" t="s">
        <v>2700</v>
      </c>
      <c r="H10" s="4" t="s">
        <v>102</v>
      </c>
    </row>
    <row r="11" customFormat="false" ht="18.75" hidden="false" customHeight="true" outlineLevel="0" collapsed="false">
      <c r="A11" s="7" t="s">
        <v>2701</v>
      </c>
      <c r="B11" s="7" t="s">
        <v>2659</v>
      </c>
      <c r="C11" s="7" t="s">
        <v>2702</v>
      </c>
      <c r="D11" s="12" t="n">
        <v>45</v>
      </c>
      <c r="E11" s="7" t="s">
        <v>2661</v>
      </c>
      <c r="F11" s="7" t="s">
        <v>2703</v>
      </c>
      <c r="G11" s="7" t="s">
        <v>2704</v>
      </c>
      <c r="H11" s="7" t="s">
        <v>86</v>
      </c>
    </row>
    <row r="12" customFormat="false" ht="18.75" hidden="false" customHeight="true" outlineLevel="0" collapsed="false">
      <c r="A12" s="4" t="s">
        <v>2705</v>
      </c>
      <c r="B12" s="4" t="s">
        <v>2659</v>
      </c>
      <c r="C12" s="4" t="s">
        <v>2706</v>
      </c>
      <c r="D12" s="10" t="n">
        <v>50</v>
      </c>
      <c r="E12" s="4" t="s">
        <v>2661</v>
      </c>
      <c r="F12" s="4" t="s">
        <v>2707</v>
      </c>
      <c r="G12" s="4" t="s">
        <v>2708</v>
      </c>
      <c r="H12" s="4" t="s">
        <v>102</v>
      </c>
    </row>
    <row r="13" customFormat="false" ht="18.75" hidden="false" customHeight="true" outlineLevel="0" collapsed="false">
      <c r="A13" s="7" t="s">
        <v>2709</v>
      </c>
      <c r="B13" s="7" t="s">
        <v>2710</v>
      </c>
      <c r="C13" s="7" t="s">
        <v>2711</v>
      </c>
      <c r="D13" s="12" t="n">
        <v>92279608.45</v>
      </c>
      <c r="E13" s="7" t="s">
        <v>102</v>
      </c>
      <c r="F13" s="7" t="s">
        <v>2712</v>
      </c>
      <c r="G13" s="7" t="s">
        <v>2713</v>
      </c>
      <c r="H13" s="7" t="s">
        <v>102</v>
      </c>
    </row>
    <row r="14" customFormat="false" ht="18.75" hidden="false" customHeight="true" outlineLevel="0" collapsed="false">
      <c r="A14" s="4" t="s">
        <v>2714</v>
      </c>
      <c r="B14" s="4" t="s">
        <v>2710</v>
      </c>
      <c r="C14" s="4" t="s">
        <v>2715</v>
      </c>
      <c r="D14" s="10" t="n">
        <v>92217404.68</v>
      </c>
      <c r="E14" s="4" t="s">
        <v>102</v>
      </c>
      <c r="F14" s="4" t="s">
        <v>2716</v>
      </c>
      <c r="G14" s="4" t="s">
        <v>2717</v>
      </c>
      <c r="H14" s="4" t="s">
        <v>102</v>
      </c>
    </row>
    <row r="15" customFormat="false" ht="18.75" hidden="false" customHeight="true" outlineLevel="0" collapsed="false">
      <c r="A15" s="7" t="s">
        <v>2718</v>
      </c>
      <c r="B15" s="7" t="s">
        <v>2710</v>
      </c>
      <c r="C15" s="7" t="s">
        <v>2719</v>
      </c>
      <c r="D15" s="12" t="n">
        <v>2320513.65</v>
      </c>
      <c r="E15" s="7" t="s">
        <v>102</v>
      </c>
      <c r="F15" s="7" t="s">
        <v>2720</v>
      </c>
      <c r="G15" s="7" t="s">
        <v>2717</v>
      </c>
      <c r="H15" s="7" t="s">
        <v>102</v>
      </c>
    </row>
    <row r="16" customFormat="false" ht="18.75" hidden="false" customHeight="true" outlineLevel="0" collapsed="false">
      <c r="A16" s="4" t="s">
        <v>2721</v>
      </c>
      <c r="B16" s="4" t="s">
        <v>2710</v>
      </c>
      <c r="C16" s="4" t="s">
        <v>2722</v>
      </c>
      <c r="D16" s="10" t="n">
        <v>89896891.06</v>
      </c>
      <c r="E16" s="4" t="s">
        <v>102</v>
      </c>
      <c r="F16" s="4" t="s">
        <v>2723</v>
      </c>
      <c r="G16" s="4" t="s">
        <v>2717</v>
      </c>
      <c r="H16" s="4" t="s">
        <v>102</v>
      </c>
    </row>
    <row r="17" customFormat="false" ht="18.75" hidden="false" customHeight="true" outlineLevel="0" collapsed="false">
      <c r="A17" s="7" t="s">
        <v>2724</v>
      </c>
      <c r="B17" s="7" t="s">
        <v>2710</v>
      </c>
      <c r="C17" s="7" t="s">
        <v>2725</v>
      </c>
      <c r="D17" s="12" t="n">
        <v>90147315.46</v>
      </c>
      <c r="E17" s="7" t="s">
        <v>102</v>
      </c>
      <c r="F17" s="7" t="s">
        <v>2726</v>
      </c>
      <c r="G17" s="7" t="s">
        <v>2727</v>
      </c>
      <c r="H17" s="7" t="s">
        <v>102</v>
      </c>
    </row>
    <row r="18" customFormat="false" ht="18.75" hidden="false" customHeight="true" outlineLevel="0" collapsed="false">
      <c r="A18" s="4" t="s">
        <v>2728</v>
      </c>
      <c r="B18" s="4" t="s">
        <v>2710</v>
      </c>
      <c r="C18" s="4" t="s">
        <v>2729</v>
      </c>
      <c r="D18" s="10" t="n">
        <v>0</v>
      </c>
      <c r="E18" s="4" t="s">
        <v>102</v>
      </c>
      <c r="F18" s="4" t="s">
        <v>2730</v>
      </c>
      <c r="G18" s="4" t="s">
        <v>2727</v>
      </c>
      <c r="H18" s="4" t="s">
        <v>102</v>
      </c>
    </row>
    <row r="19" customFormat="false" ht="18.75" hidden="false" customHeight="true" outlineLevel="0" collapsed="false">
      <c r="A19" s="7" t="s">
        <v>2731</v>
      </c>
      <c r="B19" s="7" t="s">
        <v>2710</v>
      </c>
      <c r="C19" s="7" t="s">
        <v>2732</v>
      </c>
      <c r="D19" s="12" t="n">
        <v>473860.24</v>
      </c>
      <c r="E19" s="7" t="s">
        <v>102</v>
      </c>
      <c r="F19" s="7" t="s">
        <v>2733</v>
      </c>
      <c r="G19" s="7" t="s">
        <v>2734</v>
      </c>
      <c r="H19" s="7" t="s">
        <v>102</v>
      </c>
    </row>
    <row r="20" customFormat="false" ht="18.75" hidden="false" customHeight="true" outlineLevel="0" collapsed="false">
      <c r="A20" s="4" t="s">
        <v>2735</v>
      </c>
      <c r="B20" s="4" t="s">
        <v>2710</v>
      </c>
      <c r="C20" s="4" t="s">
        <v>2736</v>
      </c>
      <c r="D20" s="10" t="n">
        <v>90541356.02</v>
      </c>
      <c r="E20" s="4" t="s">
        <v>102</v>
      </c>
      <c r="F20" s="4" t="s">
        <v>2737</v>
      </c>
      <c r="G20" s="4" t="s">
        <v>2738</v>
      </c>
      <c r="H20" s="4" t="s">
        <v>102</v>
      </c>
    </row>
    <row r="21" customFormat="false" ht="18.75" hidden="false" customHeight="true" outlineLevel="0" collapsed="false">
      <c r="A21" s="7" t="s">
        <v>2739</v>
      </c>
      <c r="B21" s="7" t="s">
        <v>2710</v>
      </c>
      <c r="C21" s="7" t="s">
        <v>2740</v>
      </c>
      <c r="D21" s="12" t="n">
        <v>89806888.3</v>
      </c>
      <c r="E21" s="7" t="s">
        <v>102</v>
      </c>
      <c r="F21" s="7" t="s">
        <v>2741</v>
      </c>
      <c r="G21" s="7" t="s">
        <v>2738</v>
      </c>
      <c r="H21" s="7" t="s">
        <v>102</v>
      </c>
    </row>
    <row r="22" customFormat="false" ht="18.75" hidden="false" customHeight="true" outlineLevel="0" collapsed="false">
      <c r="A22" s="4" t="s">
        <v>2742</v>
      </c>
      <c r="B22" s="4" t="s">
        <v>2710</v>
      </c>
      <c r="C22" s="4" t="s">
        <v>2743</v>
      </c>
      <c r="D22" s="10" t="n">
        <v>-734467.72</v>
      </c>
      <c r="E22" s="4" t="s">
        <v>102</v>
      </c>
      <c r="F22" s="4" t="s">
        <v>2744</v>
      </c>
      <c r="G22" s="4" t="s">
        <v>2738</v>
      </c>
      <c r="H22" s="4" t="s">
        <v>102</v>
      </c>
    </row>
    <row r="23" customFormat="false" ht="18.75" hidden="false" customHeight="true" outlineLevel="0" collapsed="false">
      <c r="A23" s="7" t="s">
        <v>2745</v>
      </c>
      <c r="B23" s="7" t="s">
        <v>2710</v>
      </c>
      <c r="C23" s="7" t="s">
        <v>2746</v>
      </c>
      <c r="D23" s="12" t="n">
        <v>4203811.18</v>
      </c>
      <c r="E23" s="7" t="s">
        <v>102</v>
      </c>
      <c r="F23" s="7" t="s">
        <v>2747</v>
      </c>
      <c r="G23" s="7" t="s">
        <v>2738</v>
      </c>
      <c r="H23" s="7" t="s">
        <v>102</v>
      </c>
    </row>
    <row r="24" customFormat="false" ht="18.75" hidden="false" customHeight="true" outlineLevel="0" collapsed="false">
      <c r="A24" s="4" t="s">
        <v>2748</v>
      </c>
      <c r="B24" s="4" t="s">
        <v>2710</v>
      </c>
      <c r="C24" s="4" t="s">
        <v>2749</v>
      </c>
      <c r="D24" s="10" t="n">
        <v>3752510.63</v>
      </c>
      <c r="E24" s="4" t="s">
        <v>102</v>
      </c>
      <c r="F24" s="4" t="s">
        <v>2750</v>
      </c>
      <c r="G24" s="4" t="s">
        <v>2751</v>
      </c>
      <c r="H24" s="4" t="s">
        <v>102</v>
      </c>
    </row>
    <row r="25" customFormat="false" ht="18.75" hidden="false" customHeight="true" outlineLevel="0" collapsed="false">
      <c r="A25" s="7" t="s">
        <v>2752</v>
      </c>
      <c r="B25" s="7" t="s">
        <v>2710</v>
      </c>
      <c r="C25" s="7" t="s">
        <v>2753</v>
      </c>
      <c r="D25" s="12" t="n">
        <v>126151.24</v>
      </c>
      <c r="E25" s="7" t="s">
        <v>102</v>
      </c>
      <c r="F25" s="7" t="s">
        <v>2754</v>
      </c>
      <c r="G25" s="7" t="s">
        <v>2755</v>
      </c>
      <c r="H25" s="7" t="s">
        <v>102</v>
      </c>
    </row>
    <row r="26" customFormat="false" ht="18.75" hidden="false" customHeight="true" outlineLevel="0" collapsed="false">
      <c r="A26" s="4" t="s">
        <v>2756</v>
      </c>
      <c r="B26" s="4" t="s">
        <v>45</v>
      </c>
      <c r="C26" s="4" t="s">
        <v>2757</v>
      </c>
      <c r="D26" s="10" t="n">
        <v>93.07</v>
      </c>
      <c r="E26" s="4" t="s">
        <v>2758</v>
      </c>
      <c r="F26" s="4" t="s">
        <v>2759</v>
      </c>
      <c r="G26" s="4" t="s">
        <v>2713</v>
      </c>
      <c r="H26" s="4" t="s">
        <v>102</v>
      </c>
    </row>
    <row r="27" customFormat="false" ht="18.75" hidden="false" customHeight="true" outlineLevel="0" collapsed="false">
      <c r="A27" s="7" t="s">
        <v>2760</v>
      </c>
      <c r="B27" s="7" t="s">
        <v>45</v>
      </c>
      <c r="C27" s="7" t="s">
        <v>2761</v>
      </c>
      <c r="D27" s="12" t="n">
        <v>92</v>
      </c>
      <c r="E27" s="7" t="s">
        <v>2758</v>
      </c>
      <c r="F27" s="7" t="s">
        <v>2762</v>
      </c>
      <c r="G27" s="7" t="s">
        <v>2763</v>
      </c>
      <c r="H27" s="7" t="s">
        <v>102</v>
      </c>
    </row>
    <row r="28" customFormat="false" ht="18.75" hidden="false" customHeight="true" outlineLevel="0" collapsed="false">
      <c r="A28" s="4" t="s">
        <v>2764</v>
      </c>
      <c r="B28" s="4" t="s">
        <v>45</v>
      </c>
      <c r="C28" s="4" t="s">
        <v>2765</v>
      </c>
      <c r="D28" s="10" t="n">
        <v>85.38</v>
      </c>
      <c r="E28" s="4" t="s">
        <v>2758</v>
      </c>
      <c r="F28" s="4" t="s">
        <v>2766</v>
      </c>
      <c r="G28" s="4" t="s">
        <v>2668</v>
      </c>
      <c r="H28" s="4" t="s">
        <v>102</v>
      </c>
    </row>
    <row r="29" customFormat="false" ht="18.75" hidden="false" customHeight="true" outlineLevel="0" collapsed="false">
      <c r="A29" s="7" t="s">
        <v>2767</v>
      </c>
      <c r="B29" s="7" t="s">
        <v>45</v>
      </c>
      <c r="C29" s="7" t="s">
        <v>2768</v>
      </c>
      <c r="D29" s="12" t="n">
        <v>3.64</v>
      </c>
      <c r="E29" s="7" t="s">
        <v>2758</v>
      </c>
      <c r="F29" s="7" t="s">
        <v>2769</v>
      </c>
      <c r="G29" s="7" t="s">
        <v>2668</v>
      </c>
      <c r="H29" s="7" t="s">
        <v>102</v>
      </c>
    </row>
    <row r="30" customFormat="false" ht="18.75" hidden="false" customHeight="true" outlineLevel="0" collapsed="false">
      <c r="A30" s="4" t="s">
        <v>2770</v>
      </c>
      <c r="B30" s="4" t="s">
        <v>45</v>
      </c>
      <c r="C30" s="4" t="s">
        <v>2771</v>
      </c>
      <c r="D30" s="10" t="n">
        <v>2.53</v>
      </c>
      <c r="E30" s="4" t="s">
        <v>2758</v>
      </c>
      <c r="F30" s="4" t="s">
        <v>2772</v>
      </c>
      <c r="G30" s="4" t="s">
        <v>2668</v>
      </c>
      <c r="H30" s="4" t="s">
        <v>102</v>
      </c>
    </row>
    <row r="31" customFormat="false" ht="18.75" hidden="false" customHeight="true" outlineLevel="0" collapsed="false">
      <c r="A31" s="7" t="s">
        <v>2773</v>
      </c>
      <c r="B31" s="7" t="s">
        <v>45</v>
      </c>
      <c r="C31" s="7" t="s">
        <v>2774</v>
      </c>
      <c r="D31" s="12" t="n">
        <v>1.52</v>
      </c>
      <c r="E31" s="7" t="s">
        <v>2758</v>
      </c>
      <c r="F31" s="7" t="s">
        <v>2775</v>
      </c>
      <c r="G31" s="7" t="s">
        <v>2668</v>
      </c>
      <c r="H31" s="7" t="s">
        <v>102</v>
      </c>
    </row>
    <row r="32" customFormat="false" ht="18.75" hidden="false" customHeight="true" outlineLevel="0" collapsed="false">
      <c r="A32" s="4" t="s">
        <v>2776</v>
      </c>
      <c r="B32" s="4" t="s">
        <v>45</v>
      </c>
      <c r="C32" s="4" t="s">
        <v>2777</v>
      </c>
      <c r="D32" s="10" t="n">
        <v>0.61</v>
      </c>
      <c r="E32" s="4" t="s">
        <v>2758</v>
      </c>
      <c r="F32" s="4" t="s">
        <v>2778</v>
      </c>
      <c r="G32" s="4" t="s">
        <v>2668</v>
      </c>
      <c r="H32" s="4" t="s">
        <v>102</v>
      </c>
    </row>
    <row r="33" customFormat="false" ht="18.75" hidden="false" customHeight="true" outlineLevel="0" collapsed="false">
      <c r="A33" s="7" t="s">
        <v>2779</v>
      </c>
      <c r="B33" s="7" t="s">
        <v>45</v>
      </c>
      <c r="C33" s="7" t="s">
        <v>2780</v>
      </c>
      <c r="D33" s="12" t="n">
        <v>1.62</v>
      </c>
      <c r="E33" s="7" t="s">
        <v>2758</v>
      </c>
      <c r="F33" s="7" t="s">
        <v>2781</v>
      </c>
      <c r="G33" s="7" t="s">
        <v>2668</v>
      </c>
      <c r="H33" s="7" t="s">
        <v>102</v>
      </c>
    </row>
    <row r="34" customFormat="false" ht="18.75" hidden="false" customHeight="true" outlineLevel="0" collapsed="false">
      <c r="A34" s="4" t="s">
        <v>2782</v>
      </c>
      <c r="B34" s="4" t="s">
        <v>45</v>
      </c>
      <c r="C34" s="4" t="s">
        <v>2783</v>
      </c>
      <c r="D34" s="10" t="n">
        <v>0.61</v>
      </c>
      <c r="E34" s="4" t="s">
        <v>2758</v>
      </c>
      <c r="F34" s="4" t="s">
        <v>2784</v>
      </c>
      <c r="G34" s="4" t="s">
        <v>2668</v>
      </c>
      <c r="H34" s="4" t="s">
        <v>102</v>
      </c>
    </row>
    <row r="35" customFormat="false" ht="18.75" hidden="false" customHeight="true" outlineLevel="0" collapsed="false">
      <c r="A35" s="7" t="s">
        <v>2785</v>
      </c>
      <c r="B35" s="7" t="s">
        <v>45</v>
      </c>
      <c r="C35" s="7" t="s">
        <v>2786</v>
      </c>
      <c r="D35" s="12" t="n">
        <v>1.42</v>
      </c>
      <c r="E35" s="7" t="s">
        <v>2758</v>
      </c>
      <c r="F35" s="7" t="s">
        <v>2787</v>
      </c>
      <c r="G35" s="7" t="s">
        <v>2668</v>
      </c>
      <c r="H35" s="7" t="s">
        <v>102</v>
      </c>
    </row>
    <row r="36" customFormat="false" ht="18.75" hidden="false" customHeight="true" outlineLevel="0" collapsed="false">
      <c r="A36" s="4" t="s">
        <v>2788</v>
      </c>
      <c r="B36" s="4" t="s">
        <v>45</v>
      </c>
      <c r="C36" s="4" t="s">
        <v>2789</v>
      </c>
      <c r="D36" s="10" t="n">
        <v>0.7</v>
      </c>
      <c r="E36" s="4" t="s">
        <v>2758</v>
      </c>
      <c r="F36" s="4" t="s">
        <v>2790</v>
      </c>
      <c r="G36" s="4" t="s">
        <v>2791</v>
      </c>
      <c r="H36" s="4" t="s">
        <v>102</v>
      </c>
    </row>
    <row r="37" customFormat="false" ht="18.75" hidden="false" customHeight="true" outlineLevel="0" collapsed="false">
      <c r="A37" s="7" t="s">
        <v>2792</v>
      </c>
      <c r="B37" s="7" t="s">
        <v>45</v>
      </c>
      <c r="C37" s="7" t="s">
        <v>2793</v>
      </c>
      <c r="D37" s="12" t="n">
        <v>0.3</v>
      </c>
      <c r="E37" s="7" t="s">
        <v>2758</v>
      </c>
      <c r="F37" s="7" t="s">
        <v>2794</v>
      </c>
      <c r="G37" s="7" t="s">
        <v>2668</v>
      </c>
      <c r="H37" s="7" t="s">
        <v>102</v>
      </c>
    </row>
    <row r="38" customFormat="false" ht="18.75" hidden="false" customHeight="true" outlineLevel="0" collapsed="false">
      <c r="A38" s="4" t="s">
        <v>2795</v>
      </c>
      <c r="B38" s="4" t="s">
        <v>45</v>
      </c>
      <c r="C38" s="4" t="s">
        <v>2796</v>
      </c>
      <c r="D38" s="10" t="n">
        <v>0.35</v>
      </c>
      <c r="E38" s="4" t="s">
        <v>2758</v>
      </c>
      <c r="F38" s="4" t="s">
        <v>2797</v>
      </c>
      <c r="G38" s="4" t="s">
        <v>2668</v>
      </c>
      <c r="H38" s="4" t="s">
        <v>102</v>
      </c>
    </row>
    <row r="39" customFormat="false" ht="18.75" hidden="false" customHeight="true" outlineLevel="0" collapsed="false">
      <c r="A39" s="7" t="s">
        <v>2798</v>
      </c>
      <c r="B39" s="7" t="s">
        <v>45</v>
      </c>
      <c r="C39" s="7" t="s">
        <v>2799</v>
      </c>
      <c r="D39" s="12" t="n">
        <v>0.99</v>
      </c>
      <c r="E39" s="7" t="s">
        <v>2758</v>
      </c>
      <c r="F39" s="7" t="s">
        <v>2800</v>
      </c>
      <c r="G39" s="7" t="s">
        <v>2717</v>
      </c>
      <c r="H39" s="7" t="s">
        <v>102</v>
      </c>
    </row>
    <row r="40" customFormat="false" ht="18.75" hidden="false" customHeight="true" outlineLevel="0" collapsed="false">
      <c r="A40" s="4" t="s">
        <v>2801</v>
      </c>
      <c r="B40" s="4" t="s">
        <v>45</v>
      </c>
      <c r="C40" s="4" t="s">
        <v>2802</v>
      </c>
      <c r="D40" s="10" t="n">
        <v>0.15</v>
      </c>
      <c r="E40" s="4" t="s">
        <v>2758</v>
      </c>
      <c r="F40" s="4" t="s">
        <v>2803</v>
      </c>
      <c r="G40" s="4" t="s">
        <v>2717</v>
      </c>
      <c r="H40" s="4" t="s">
        <v>102</v>
      </c>
    </row>
    <row r="41" customFormat="false" ht="18.75" hidden="false" customHeight="true" outlineLevel="0" collapsed="false">
      <c r="A41" s="7" t="s">
        <v>2804</v>
      </c>
      <c r="B41" s="7" t="s">
        <v>45</v>
      </c>
      <c r="C41" s="7" t="s">
        <v>2805</v>
      </c>
      <c r="D41" s="12" t="n">
        <v>28</v>
      </c>
      <c r="E41" s="7" t="s">
        <v>2758</v>
      </c>
      <c r="F41" s="7" t="s">
        <v>2806</v>
      </c>
      <c r="G41" s="7" t="s">
        <v>2734</v>
      </c>
      <c r="H41" s="7" t="s">
        <v>102</v>
      </c>
    </row>
    <row r="42" customFormat="false" ht="18.75" hidden="false" customHeight="true" outlineLevel="0" collapsed="false">
      <c r="A42" s="4" t="s">
        <v>2807</v>
      </c>
      <c r="B42" s="4" t="s">
        <v>45</v>
      </c>
      <c r="C42" s="4" t="s">
        <v>2808</v>
      </c>
      <c r="D42" s="10" t="n">
        <v>0.15</v>
      </c>
      <c r="E42" s="4" t="s">
        <v>2758</v>
      </c>
      <c r="F42" s="4" t="s">
        <v>2809</v>
      </c>
      <c r="G42" s="4" t="s">
        <v>2668</v>
      </c>
      <c r="H42" s="4" t="s">
        <v>102</v>
      </c>
    </row>
    <row r="43" customFormat="false" ht="18.75" hidden="false" customHeight="true" outlineLevel="0" collapsed="false">
      <c r="A43" s="7" t="s">
        <v>2810</v>
      </c>
      <c r="B43" s="7" t="s">
        <v>2811</v>
      </c>
      <c r="C43" s="7" t="s">
        <v>2812</v>
      </c>
      <c r="D43" s="12" t="n">
        <v>705</v>
      </c>
      <c r="E43" s="7" t="s">
        <v>2698</v>
      </c>
      <c r="F43" s="7" t="s">
        <v>2813</v>
      </c>
      <c r="G43" s="7" t="s">
        <v>2814</v>
      </c>
      <c r="H43" s="7" t="s">
        <v>102</v>
      </c>
    </row>
    <row r="44" customFormat="false" ht="18.75" hidden="false" customHeight="true" outlineLevel="0" collapsed="false">
      <c r="A44" s="4" t="s">
        <v>2815</v>
      </c>
      <c r="B44" s="4" t="s">
        <v>2811</v>
      </c>
      <c r="C44" s="4" t="s">
        <v>2816</v>
      </c>
      <c r="D44" s="10" t="n">
        <v>95</v>
      </c>
      <c r="E44" s="4" t="s">
        <v>2698</v>
      </c>
      <c r="F44" s="4" t="s">
        <v>2817</v>
      </c>
      <c r="G44" s="4" t="s">
        <v>2814</v>
      </c>
      <c r="H44" s="4" t="s">
        <v>102</v>
      </c>
    </row>
    <row r="45" customFormat="false" ht="18.75" hidden="false" customHeight="true" outlineLevel="0" collapsed="false">
      <c r="A45" s="7" t="s">
        <v>2818</v>
      </c>
      <c r="B45" s="7" t="s">
        <v>2811</v>
      </c>
      <c r="C45" s="7" t="s">
        <v>2819</v>
      </c>
      <c r="D45" s="12" t="n">
        <v>25</v>
      </c>
      <c r="E45" s="7" t="s">
        <v>2698</v>
      </c>
      <c r="F45" s="7" t="s">
        <v>2820</v>
      </c>
      <c r="G45" s="7" t="s">
        <v>2814</v>
      </c>
      <c r="H45" s="7" t="s">
        <v>102</v>
      </c>
    </row>
    <row r="46" customFormat="false" ht="18.75" hidden="false" customHeight="true" outlineLevel="0" collapsed="false">
      <c r="A46" s="4" t="s">
        <v>2821</v>
      </c>
      <c r="B46" s="4" t="s">
        <v>2811</v>
      </c>
      <c r="C46" s="4" t="s">
        <v>2822</v>
      </c>
      <c r="D46" s="10" t="n">
        <v>11.88</v>
      </c>
      <c r="E46" s="4" t="s">
        <v>2758</v>
      </c>
      <c r="F46" s="4" t="s">
        <v>2823</v>
      </c>
      <c r="G46" s="4" t="s">
        <v>2814</v>
      </c>
      <c r="H46" s="4" t="s">
        <v>102</v>
      </c>
    </row>
    <row r="47" customFormat="false" ht="18.75" hidden="false" customHeight="true" outlineLevel="0" collapsed="false">
      <c r="A47" s="7" t="s">
        <v>2824</v>
      </c>
      <c r="B47" s="7" t="s">
        <v>2811</v>
      </c>
      <c r="C47" s="7" t="s">
        <v>2825</v>
      </c>
      <c r="D47" s="12" t="n">
        <v>4</v>
      </c>
      <c r="E47" s="7" t="s">
        <v>2826</v>
      </c>
      <c r="F47" s="7" t="s">
        <v>2827</v>
      </c>
      <c r="G47" s="7" t="s">
        <v>2828</v>
      </c>
      <c r="H47" s="7" t="s">
        <v>2829</v>
      </c>
    </row>
    <row r="48" customFormat="false" ht="18.75" hidden="false" customHeight="true" outlineLevel="0" collapsed="false">
      <c r="A48" s="4" t="s">
        <v>2830</v>
      </c>
      <c r="B48" s="4" t="s">
        <v>2811</v>
      </c>
      <c r="C48" s="4" t="s">
        <v>2831</v>
      </c>
      <c r="D48" s="10" t="n">
        <v>4</v>
      </c>
      <c r="E48" s="4" t="s">
        <v>2826</v>
      </c>
      <c r="F48" s="4" t="s">
        <v>2832</v>
      </c>
      <c r="G48" s="4" t="s">
        <v>2828</v>
      </c>
      <c r="H48" s="4" t="s">
        <v>2829</v>
      </c>
    </row>
    <row r="49" customFormat="false" ht="18.75" hidden="false" customHeight="true" outlineLevel="0" collapsed="false">
      <c r="A49" s="7" t="s">
        <v>2833</v>
      </c>
      <c r="B49" s="7" t="s">
        <v>2834</v>
      </c>
      <c r="C49" s="7" t="s">
        <v>2835</v>
      </c>
      <c r="D49" s="12" t="n">
        <v>99.3</v>
      </c>
      <c r="E49" s="7" t="s">
        <v>2758</v>
      </c>
      <c r="F49" s="7" t="s">
        <v>2836</v>
      </c>
      <c r="G49" s="7" t="s">
        <v>2837</v>
      </c>
      <c r="H49" s="7" t="s">
        <v>86</v>
      </c>
    </row>
    <row r="50" customFormat="false" ht="18.75" hidden="false" customHeight="true" outlineLevel="0" collapsed="false">
      <c r="A50" s="4" t="s">
        <v>2838</v>
      </c>
      <c r="B50" s="4" t="s">
        <v>2834</v>
      </c>
      <c r="C50" s="4" t="s">
        <v>2839</v>
      </c>
      <c r="D50" s="10" t="n">
        <v>99.83</v>
      </c>
      <c r="E50" s="4" t="s">
        <v>2758</v>
      </c>
      <c r="F50" s="4" t="s">
        <v>2840</v>
      </c>
      <c r="G50" s="4" t="s">
        <v>2837</v>
      </c>
      <c r="H50" s="4" t="s">
        <v>86</v>
      </c>
    </row>
    <row r="51" customFormat="false" ht="18.75" hidden="false" customHeight="true" outlineLevel="0" collapsed="false">
      <c r="A51" s="7" t="s">
        <v>2841</v>
      </c>
      <c r="B51" s="7" t="s">
        <v>2834</v>
      </c>
      <c r="C51" s="7" t="s">
        <v>2842</v>
      </c>
      <c r="D51" s="12" t="n">
        <v>0.45</v>
      </c>
      <c r="E51" s="7" t="s">
        <v>2758</v>
      </c>
      <c r="F51" s="7" t="s">
        <v>2843</v>
      </c>
      <c r="G51" s="7" t="s">
        <v>2837</v>
      </c>
      <c r="H51" s="7" t="s">
        <v>86</v>
      </c>
    </row>
    <row r="52" customFormat="false" ht="18.75" hidden="false" customHeight="true" outlineLevel="0" collapsed="false">
      <c r="A52" s="4" t="s">
        <v>2844</v>
      </c>
      <c r="B52" s="4" t="s">
        <v>2845</v>
      </c>
      <c r="C52" s="4" t="s">
        <v>2846</v>
      </c>
      <c r="D52" s="10" t="n">
        <v>100</v>
      </c>
      <c r="E52" s="4" t="s">
        <v>2758</v>
      </c>
      <c r="F52" s="4" t="s">
        <v>2847</v>
      </c>
      <c r="G52" s="4" t="s">
        <v>2848</v>
      </c>
      <c r="H52" s="4" t="s">
        <v>2829</v>
      </c>
    </row>
    <row r="53" customFormat="false" ht="18.75" hidden="false" customHeight="true" outlineLevel="0" collapsed="false">
      <c r="A53" s="7" t="s">
        <v>2849</v>
      </c>
      <c r="B53" s="7" t="s">
        <v>2845</v>
      </c>
      <c r="C53" s="7" t="s">
        <v>2850</v>
      </c>
      <c r="D53" s="12" t="n">
        <v>100</v>
      </c>
      <c r="E53" s="7" t="s">
        <v>2758</v>
      </c>
      <c r="F53" s="7" t="s">
        <v>2851</v>
      </c>
      <c r="G53" s="7" t="s">
        <v>2852</v>
      </c>
      <c r="H53" s="7" t="s">
        <v>2829</v>
      </c>
    </row>
    <row r="54" customFormat="false" ht="18.75" hidden="false" customHeight="true" outlineLevel="0" collapsed="false">
      <c r="A54" s="4" t="s">
        <v>2853</v>
      </c>
      <c r="B54" s="4" t="s">
        <v>2845</v>
      </c>
      <c r="C54" s="4" t="s">
        <v>2854</v>
      </c>
      <c r="D54" s="10" t="n">
        <v>100</v>
      </c>
      <c r="E54" s="4" t="s">
        <v>2758</v>
      </c>
      <c r="F54" s="4" t="s">
        <v>2855</v>
      </c>
      <c r="G54" s="4" t="s">
        <v>2856</v>
      </c>
      <c r="H54" s="4" t="s">
        <v>2829</v>
      </c>
    </row>
    <row r="55" customFormat="false" ht="18.75" hidden="false" customHeight="true" outlineLevel="0" collapsed="false">
      <c r="A55" s="7" t="s">
        <v>2857</v>
      </c>
      <c r="B55" s="7" t="s">
        <v>2845</v>
      </c>
      <c r="C55" s="7" t="s">
        <v>2858</v>
      </c>
      <c r="D55" s="12" t="n">
        <v>0</v>
      </c>
      <c r="E55" s="7" t="s">
        <v>2758</v>
      </c>
      <c r="F55" s="7" t="s">
        <v>2859</v>
      </c>
      <c r="G55" s="7" t="s">
        <v>2860</v>
      </c>
      <c r="H55" s="7" t="s">
        <v>2829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9"/>
    <col collapsed="false" customWidth="true" hidden="false" outlineLevel="0" max="8" min="8" style="0" width="24"/>
  </cols>
  <sheetData>
    <row r="1" customFormat="false" ht="24" hidden="false" customHeight="true" outlineLevel="0" collapsed="false">
      <c r="A1" s="1" t="s">
        <v>2861</v>
      </c>
      <c r="B1" s="1" t="s">
        <v>2862</v>
      </c>
      <c r="C1" s="3" t="s">
        <v>2863</v>
      </c>
      <c r="D1" s="3" t="s">
        <v>54</v>
      </c>
      <c r="E1" s="3" t="s">
        <v>55</v>
      </c>
      <c r="F1" s="3" t="s">
        <v>56</v>
      </c>
      <c r="G1" s="3" t="s">
        <v>58</v>
      </c>
      <c r="H1" s="3" t="s">
        <v>2864</v>
      </c>
    </row>
    <row r="2" customFormat="false" ht="18.75" hidden="false" customHeight="true" outlineLevel="0" collapsed="false">
      <c r="A2" s="4" t="s">
        <v>2865</v>
      </c>
      <c r="B2" s="4" t="s">
        <v>2866</v>
      </c>
      <c r="C2" s="6" t="n">
        <v>8440</v>
      </c>
      <c r="D2" s="6" t="n">
        <v>0</v>
      </c>
      <c r="E2" s="6" t="n">
        <v>0</v>
      </c>
      <c r="F2" s="10" t="n">
        <v>77346926.18</v>
      </c>
      <c r="G2" s="10" t="n">
        <v>0</v>
      </c>
      <c r="H2" s="10" t="n">
        <v>0</v>
      </c>
    </row>
    <row r="3" customFormat="false" ht="18.75" hidden="false" customHeight="true" outlineLevel="0" collapsed="false">
      <c r="A3" s="7" t="s">
        <v>2867</v>
      </c>
      <c r="B3" s="7" t="s">
        <v>2868</v>
      </c>
      <c r="C3" s="8" t="n">
        <v>360</v>
      </c>
      <c r="D3" s="8" t="n">
        <v>0</v>
      </c>
      <c r="E3" s="8" t="n">
        <v>0</v>
      </c>
      <c r="F3" s="12" t="n">
        <v>3294891.1</v>
      </c>
      <c r="G3" s="12" t="n">
        <v>0</v>
      </c>
      <c r="H3" s="12" t="n">
        <v>0</v>
      </c>
    </row>
    <row r="4" customFormat="false" ht="18.75" hidden="false" customHeight="true" outlineLevel="0" collapsed="false">
      <c r="A4" s="4" t="s">
        <v>2869</v>
      </c>
      <c r="B4" s="4" t="s">
        <v>2870</v>
      </c>
      <c r="C4" s="6" t="n">
        <v>250</v>
      </c>
      <c r="D4" s="6" t="n">
        <v>0</v>
      </c>
      <c r="E4" s="6" t="n">
        <v>0</v>
      </c>
      <c r="F4" s="10" t="n">
        <v>2295911.45</v>
      </c>
      <c r="G4" s="10" t="n">
        <v>0</v>
      </c>
      <c r="H4" s="10" t="n">
        <v>0</v>
      </c>
    </row>
    <row r="5" customFormat="false" ht="18.75" hidden="false" customHeight="true" outlineLevel="0" collapsed="false">
      <c r="A5" s="7" t="s">
        <v>2871</v>
      </c>
      <c r="B5" s="7" t="s">
        <v>66</v>
      </c>
      <c r="C5" s="8" t="n">
        <v>150</v>
      </c>
      <c r="D5" s="8" t="n">
        <v>0</v>
      </c>
      <c r="E5" s="8" t="n">
        <v>0</v>
      </c>
      <c r="F5" s="12" t="n">
        <v>1378870.22</v>
      </c>
      <c r="G5" s="12" t="n">
        <v>0</v>
      </c>
      <c r="H5" s="12" t="n">
        <v>0</v>
      </c>
    </row>
    <row r="6" customFormat="false" ht="18.75" hidden="false" customHeight="true" outlineLevel="0" collapsed="false">
      <c r="A6" s="4" t="s">
        <v>60</v>
      </c>
      <c r="B6" s="4" t="s">
        <v>61</v>
      </c>
      <c r="C6" s="6" t="n">
        <v>140</v>
      </c>
      <c r="D6" s="6" t="n">
        <v>115</v>
      </c>
      <c r="E6" s="6" t="n">
        <v>25</v>
      </c>
      <c r="F6" s="10" t="n">
        <v>1266745.19</v>
      </c>
      <c r="G6" s="10" t="n">
        <v>1073397.69</v>
      </c>
      <c r="H6" s="10" t="n">
        <v>106958.21</v>
      </c>
    </row>
    <row r="7" customFormat="false" ht="18.75" hidden="false" customHeight="true" outlineLevel="0" collapsed="false">
      <c r="A7" s="7" t="s">
        <v>62</v>
      </c>
      <c r="B7" s="7" t="s">
        <v>61</v>
      </c>
      <c r="C7" s="8" t="n">
        <v>70</v>
      </c>
      <c r="D7" s="8" t="n">
        <v>70</v>
      </c>
      <c r="E7" s="8" t="n">
        <v>0</v>
      </c>
      <c r="F7" s="12" t="n">
        <v>0</v>
      </c>
      <c r="G7" s="12" t="n">
        <v>764719.96</v>
      </c>
      <c r="H7" s="12" t="n">
        <v>0</v>
      </c>
    </row>
    <row r="8" customFormat="false" ht="18.75" hidden="false" customHeight="true" outlineLevel="0" collapsed="false">
      <c r="A8" s="4" t="s">
        <v>63</v>
      </c>
      <c r="B8" s="4" t="s">
        <v>64</v>
      </c>
      <c r="C8" s="6" t="n">
        <v>100</v>
      </c>
      <c r="D8" s="6" t="n">
        <v>80</v>
      </c>
      <c r="E8" s="6" t="n">
        <v>20</v>
      </c>
      <c r="F8" s="10" t="n">
        <v>917182.4</v>
      </c>
      <c r="G8" s="10" t="n">
        <v>672762.41</v>
      </c>
      <c r="H8" s="10" t="n">
        <v>0</v>
      </c>
    </row>
    <row r="9" customFormat="false" ht="18.75" hidden="false" customHeight="true" outlineLevel="0" collapsed="false">
      <c r="A9" s="7" t="s">
        <v>65</v>
      </c>
      <c r="B9" s="7" t="s">
        <v>66</v>
      </c>
      <c r="C9" s="8" t="n">
        <v>60</v>
      </c>
      <c r="D9" s="8" t="n">
        <v>60</v>
      </c>
      <c r="E9" s="8" t="n">
        <v>0</v>
      </c>
      <c r="F9" s="12" t="n">
        <v>702066.04</v>
      </c>
      <c r="G9" s="12" t="n">
        <v>280826.42</v>
      </c>
      <c r="H9" s="12" t="n">
        <v>0</v>
      </c>
    </row>
    <row r="10" customFormat="false" ht="18.75" hidden="false" customHeight="true" outlineLevel="0" collapsed="false">
      <c r="A10" s="4" t="s">
        <v>67</v>
      </c>
      <c r="B10" s="4" t="s">
        <v>68</v>
      </c>
      <c r="C10" s="6" t="n">
        <v>35</v>
      </c>
      <c r="D10" s="6" t="n">
        <v>35</v>
      </c>
      <c r="E10" s="6" t="n">
        <v>0</v>
      </c>
      <c r="F10" s="10" t="n">
        <v>170213.58</v>
      </c>
      <c r="G10" s="10" t="n">
        <v>170213.58</v>
      </c>
      <c r="H10" s="10" t="n">
        <v>0</v>
      </c>
    </row>
    <row r="11" customFormat="false" ht="18.75" hidden="false" customHeight="true" outlineLevel="0" collapsed="false">
      <c r="A11" s="7" t="s">
        <v>69</v>
      </c>
      <c r="B11" s="7" t="s">
        <v>61</v>
      </c>
      <c r="C11" s="8" t="n">
        <v>30</v>
      </c>
      <c r="D11" s="8" t="n">
        <v>30</v>
      </c>
      <c r="E11" s="8" t="n">
        <v>0</v>
      </c>
      <c r="F11" s="12" t="n">
        <v>138177.61</v>
      </c>
      <c r="G11" s="12" t="n">
        <v>138177.61</v>
      </c>
      <c r="H11" s="12" t="n">
        <v>0</v>
      </c>
    </row>
    <row r="12" customFormat="false" ht="18.75" hidden="false" customHeight="true" outlineLevel="0" collapsed="false">
      <c r="A12" s="4" t="s">
        <v>70</v>
      </c>
      <c r="B12" s="4" t="s">
        <v>71</v>
      </c>
      <c r="C12" s="6" t="n">
        <v>10</v>
      </c>
      <c r="D12" s="6" t="n">
        <v>10</v>
      </c>
      <c r="E12" s="6" t="n">
        <v>0</v>
      </c>
      <c r="F12" s="10" t="n">
        <v>111271.96</v>
      </c>
      <c r="G12" s="10" t="n">
        <v>111271.96</v>
      </c>
      <c r="H12" s="10" t="n">
        <v>0</v>
      </c>
    </row>
    <row r="13" customFormat="false" ht="18.75" hidden="false" customHeight="true" outlineLevel="0" collapsed="false">
      <c r="A13" s="7" t="s">
        <v>72</v>
      </c>
      <c r="B13" s="7" t="s">
        <v>71</v>
      </c>
      <c r="C13" s="8" t="n">
        <v>8</v>
      </c>
      <c r="D13" s="8" t="n">
        <v>8</v>
      </c>
      <c r="E13" s="8" t="n">
        <v>0</v>
      </c>
      <c r="F13" s="12" t="n">
        <v>110638.9</v>
      </c>
      <c r="G13" s="12" t="n">
        <v>110638.9</v>
      </c>
      <c r="H13" s="12" t="n">
        <v>0</v>
      </c>
    </row>
    <row r="14" customFormat="false" ht="18.75" hidden="false" customHeight="true" outlineLevel="0" collapsed="false">
      <c r="A14" s="4" t="s">
        <v>73</v>
      </c>
      <c r="B14" s="4" t="s">
        <v>71</v>
      </c>
      <c r="C14" s="6" t="n">
        <v>10</v>
      </c>
      <c r="D14" s="6" t="n">
        <v>10</v>
      </c>
      <c r="E14" s="6" t="n">
        <v>0</v>
      </c>
      <c r="F14" s="10" t="n">
        <v>94338.84</v>
      </c>
      <c r="G14" s="10" t="n">
        <v>94338.84</v>
      </c>
      <c r="H14" s="10" t="n">
        <v>0</v>
      </c>
    </row>
    <row r="15" customFormat="false" ht="18.75" hidden="false" customHeight="true" outlineLevel="0" collapsed="false">
      <c r="A15" s="7" t="s">
        <v>74</v>
      </c>
      <c r="B15" s="7" t="s">
        <v>71</v>
      </c>
      <c r="C15" s="8" t="n">
        <v>7</v>
      </c>
      <c r="D15" s="8" t="n">
        <v>7</v>
      </c>
      <c r="E15" s="8" t="n">
        <v>0</v>
      </c>
      <c r="F15" s="12" t="n">
        <v>87951.19</v>
      </c>
      <c r="G15" s="12" t="n">
        <v>87951.19</v>
      </c>
      <c r="H15" s="12" t="n">
        <v>0</v>
      </c>
    </row>
    <row r="16" customFormat="false" ht="18.75" hidden="false" customHeight="true" outlineLevel="0" collapsed="false">
      <c r="A16" s="4" t="s">
        <v>75</v>
      </c>
      <c r="B16" s="4" t="s">
        <v>71</v>
      </c>
      <c r="C16" s="6" t="n">
        <v>10</v>
      </c>
      <c r="D16" s="6" t="n">
        <v>10</v>
      </c>
      <c r="E16" s="6" t="n">
        <v>0</v>
      </c>
      <c r="F16" s="10" t="n">
        <v>77395.77</v>
      </c>
      <c r="G16" s="10" t="n">
        <v>77395.77</v>
      </c>
      <c r="H16" s="10" t="n">
        <v>0</v>
      </c>
    </row>
    <row r="17" customFormat="false" ht="18.75" hidden="false" customHeight="true" outlineLevel="0" collapsed="false">
      <c r="A17" s="7" t="s">
        <v>76</v>
      </c>
      <c r="B17" s="7" t="s">
        <v>77</v>
      </c>
      <c r="C17" s="8" t="n">
        <v>15</v>
      </c>
      <c r="D17" s="8" t="n">
        <v>15</v>
      </c>
      <c r="E17" s="8" t="n">
        <v>0</v>
      </c>
      <c r="F17" s="12" t="n">
        <v>237944.01</v>
      </c>
      <c r="G17" s="12" t="n">
        <v>60823.03</v>
      </c>
      <c r="H17" s="12" t="n">
        <v>19193.03</v>
      </c>
    </row>
    <row r="18" customFormat="false" ht="18.75" hidden="false" customHeight="true" outlineLevel="0" collapsed="false">
      <c r="A18" s="4" t="s">
        <v>78</v>
      </c>
      <c r="B18" s="4" t="s">
        <v>77</v>
      </c>
      <c r="C18" s="6" t="n">
        <v>40</v>
      </c>
      <c r="D18" s="6" t="n">
        <v>30</v>
      </c>
      <c r="E18" s="6" t="n">
        <v>10</v>
      </c>
      <c r="F18" s="10" t="n">
        <v>310799.2</v>
      </c>
      <c r="G18" s="10" t="n">
        <v>55471.4</v>
      </c>
      <c r="H18" s="10" t="n">
        <v>0</v>
      </c>
    </row>
    <row r="19" customFormat="false" ht="18.75" hidden="false" customHeight="true" outlineLevel="0" collapsed="false">
      <c r="A19" s="7" t="s">
        <v>79</v>
      </c>
      <c r="B19" s="7" t="s">
        <v>77</v>
      </c>
      <c r="C19" s="8" t="n">
        <v>15</v>
      </c>
      <c r="D19" s="8" t="n">
        <v>15</v>
      </c>
      <c r="E19" s="8" t="n">
        <v>0</v>
      </c>
      <c r="F19" s="12" t="n">
        <v>85904.97</v>
      </c>
      <c r="G19" s="12" t="n">
        <v>29491.84</v>
      </c>
      <c r="H19" s="12" t="n">
        <v>0</v>
      </c>
    </row>
    <row r="20" customFormat="false" ht="18.75" hidden="false" customHeight="true" outlineLevel="0" collapsed="false">
      <c r="A20" s="4" t="s">
        <v>80</v>
      </c>
      <c r="B20" s="4" t="s">
        <v>64</v>
      </c>
      <c r="C20" s="6" t="n">
        <v>15</v>
      </c>
      <c r="D20" s="6" t="n">
        <v>15</v>
      </c>
      <c r="E20" s="6" t="n">
        <v>0</v>
      </c>
      <c r="F20" s="10" t="n">
        <v>46310.02</v>
      </c>
      <c r="G20" s="10" t="n">
        <v>23155.03</v>
      </c>
      <c r="H20" s="10" t="n">
        <v>0</v>
      </c>
    </row>
    <row r="21" customFormat="false" ht="18.75" hidden="false" customHeight="true" outlineLevel="0" collapsed="false">
      <c r="A21" s="7" t="s">
        <v>81</v>
      </c>
      <c r="B21" s="7" t="s">
        <v>64</v>
      </c>
      <c r="C21" s="8" t="n">
        <v>15</v>
      </c>
      <c r="D21" s="8" t="n">
        <v>15</v>
      </c>
      <c r="E21" s="8" t="n">
        <v>0</v>
      </c>
      <c r="F21" s="12" t="n">
        <v>84402.09</v>
      </c>
      <c r="G21" s="12" t="n">
        <v>1875</v>
      </c>
      <c r="H21" s="12" t="n">
        <v>0</v>
      </c>
    </row>
    <row r="22" customFormat="false" ht="18.75" hidden="false" customHeight="true" outlineLevel="0" collapsed="false">
      <c r="A22" s="4" t="s">
        <v>82</v>
      </c>
      <c r="B22" s="4" t="s">
        <v>83</v>
      </c>
      <c r="C22" s="6" t="n">
        <v>160</v>
      </c>
      <c r="D22" s="6" t="n">
        <v>120</v>
      </c>
      <c r="E22" s="6" t="n">
        <v>40</v>
      </c>
      <c r="F22" s="10" t="n">
        <v>1446272.07</v>
      </c>
      <c r="G22" s="10" t="n">
        <v>0</v>
      </c>
      <c r="H22" s="10" t="n">
        <v>0</v>
      </c>
    </row>
    <row r="23" customFormat="false" ht="18.75" hidden="false" customHeight="true" outlineLevel="0" collapsed="false">
      <c r="A23" s="7" t="s">
        <v>84</v>
      </c>
      <c r="B23" s="7" t="s">
        <v>83</v>
      </c>
      <c r="C23" s="8" t="n">
        <v>60</v>
      </c>
      <c r="D23" s="8" t="n">
        <v>60</v>
      </c>
      <c r="E23" s="8" t="n">
        <v>0</v>
      </c>
      <c r="F23" s="12" t="n">
        <v>532393.93</v>
      </c>
      <c r="G23" s="12" t="n">
        <v>0</v>
      </c>
      <c r="H23" s="12" t="n">
        <v>0</v>
      </c>
    </row>
    <row r="24" customFormat="false" ht="21.75" hidden="false" customHeight="true" outlineLevel="0" collapsed="false">
      <c r="A24" s="14" t="s">
        <v>85</v>
      </c>
      <c r="B24" s="14" t="s">
        <v>86</v>
      </c>
      <c r="C24" s="15" t="n">
        <f aca="false">SUM(C2:C23)</f>
        <v>10000</v>
      </c>
      <c r="D24" s="15" t="n">
        <f aca="false">SUM(D2:D23)</f>
        <v>705</v>
      </c>
      <c r="E24" s="15" t="n">
        <f aca="false">SUM(E2:E23)</f>
        <v>95</v>
      </c>
      <c r="F24" s="16" t="n">
        <f aca="false">SUM(F2:F23)</f>
        <v>90736606.72</v>
      </c>
      <c r="G24" s="16" t="n">
        <f aca="false">SUM(G2:G23)</f>
        <v>3752510.63</v>
      </c>
      <c r="H24" s="16" t="n">
        <f aca="false">SUM(H2:H23)</f>
        <v>126151.24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3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23"/>
    <col collapsed="false" customWidth="true" hidden="false" outlineLevel="0" max="7" min="7" style="0" width="38"/>
  </cols>
  <sheetData>
    <row r="1" customFormat="false" ht="24" hidden="false" customHeight="true" outlineLevel="0" collapsed="false">
      <c r="A1" s="1" t="s">
        <v>2872</v>
      </c>
      <c r="B1" s="1" t="s">
        <v>2873</v>
      </c>
      <c r="C1" s="1" t="s">
        <v>2874</v>
      </c>
      <c r="D1" s="1" t="s">
        <v>2875</v>
      </c>
      <c r="E1" s="2" t="s">
        <v>2876</v>
      </c>
      <c r="F1" s="1" t="s">
        <v>2877</v>
      </c>
      <c r="G1" s="1" t="s">
        <v>2878</v>
      </c>
    </row>
    <row r="2" customFormat="false" ht="18.75" hidden="false" customHeight="true" outlineLevel="0" collapsed="false">
      <c r="A2" s="4" t="s">
        <v>2879</v>
      </c>
      <c r="B2" s="4" t="s">
        <v>16</v>
      </c>
      <c r="C2" s="4" t="s">
        <v>2880</v>
      </c>
      <c r="D2" s="4" t="s">
        <v>2881</v>
      </c>
      <c r="E2" s="5" t="s">
        <v>19</v>
      </c>
      <c r="F2" s="4" t="s">
        <v>2882</v>
      </c>
      <c r="G2" s="4" t="s">
        <v>2883</v>
      </c>
    </row>
    <row r="3" customFormat="false" ht="18.75" hidden="false" customHeight="true" outlineLevel="0" collapsed="false">
      <c r="A3" s="7" t="s">
        <v>2884</v>
      </c>
      <c r="B3" s="7" t="s">
        <v>16</v>
      </c>
      <c r="C3" s="7" t="s">
        <v>2885</v>
      </c>
      <c r="D3" s="7" t="s">
        <v>2886</v>
      </c>
      <c r="E3" s="5" t="s">
        <v>19</v>
      </c>
      <c r="F3" s="7" t="s">
        <v>2882</v>
      </c>
      <c r="G3" s="7" t="s">
        <v>2887</v>
      </c>
    </row>
    <row r="4" customFormat="false" ht="18.75" hidden="false" customHeight="true" outlineLevel="0" collapsed="false">
      <c r="A4" s="4" t="s">
        <v>2888</v>
      </c>
      <c r="B4" s="4" t="s">
        <v>16</v>
      </c>
      <c r="C4" s="4" t="s">
        <v>2889</v>
      </c>
      <c r="D4" s="4" t="s">
        <v>2890</v>
      </c>
      <c r="E4" s="5" t="s">
        <v>19</v>
      </c>
      <c r="F4" s="4" t="s">
        <v>2882</v>
      </c>
      <c r="G4" s="4" t="s">
        <v>2891</v>
      </c>
    </row>
    <row r="5" customFormat="false" ht="18.75" hidden="false" customHeight="true" outlineLevel="0" collapsed="false">
      <c r="A5" s="7" t="s">
        <v>2892</v>
      </c>
      <c r="B5" s="7" t="s">
        <v>16</v>
      </c>
      <c r="C5" s="7" t="s">
        <v>2893</v>
      </c>
      <c r="D5" s="7" t="s">
        <v>2894</v>
      </c>
      <c r="E5" s="5" t="s">
        <v>19</v>
      </c>
      <c r="F5" s="7" t="s">
        <v>2882</v>
      </c>
      <c r="G5" s="7" t="s">
        <v>2895</v>
      </c>
    </row>
    <row r="6" customFormat="false" ht="18.75" hidden="false" customHeight="true" outlineLevel="0" collapsed="false">
      <c r="A6" s="4" t="s">
        <v>2896</v>
      </c>
      <c r="B6" s="4" t="s">
        <v>16</v>
      </c>
      <c r="C6" s="4" t="s">
        <v>2897</v>
      </c>
      <c r="D6" s="4" t="s">
        <v>2898</v>
      </c>
      <c r="E6" s="5" t="s">
        <v>19</v>
      </c>
      <c r="F6" s="4" t="s">
        <v>2899</v>
      </c>
      <c r="G6" s="4" t="s">
        <v>2900</v>
      </c>
    </row>
    <row r="7" customFormat="false" ht="18.75" hidden="false" customHeight="true" outlineLevel="0" collapsed="false">
      <c r="A7" s="7" t="s">
        <v>2901</v>
      </c>
      <c r="B7" s="7" t="s">
        <v>16</v>
      </c>
      <c r="C7" s="7" t="s">
        <v>2902</v>
      </c>
      <c r="D7" s="7" t="s">
        <v>2903</v>
      </c>
      <c r="E7" s="5" t="s">
        <v>19</v>
      </c>
      <c r="F7" s="7" t="s">
        <v>2904</v>
      </c>
      <c r="G7" s="7" t="s">
        <v>2905</v>
      </c>
    </row>
    <row r="8" customFormat="false" ht="18.75" hidden="false" customHeight="true" outlineLevel="0" collapsed="false">
      <c r="A8" s="4" t="s">
        <v>2906</v>
      </c>
      <c r="B8" s="4" t="s">
        <v>16</v>
      </c>
      <c r="C8" s="4" t="s">
        <v>2907</v>
      </c>
      <c r="D8" s="4" t="s">
        <v>2908</v>
      </c>
      <c r="E8" s="5" t="s">
        <v>19</v>
      </c>
      <c r="F8" s="4" t="s">
        <v>2909</v>
      </c>
      <c r="G8" s="4" t="s">
        <v>2910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38"/>
  </cols>
  <sheetData>
    <row r="1" customFormat="false" ht="24" hidden="false" customHeight="true" outlineLevel="0" collapsed="false">
      <c r="A1" s="1" t="s">
        <v>2911</v>
      </c>
      <c r="B1" s="3" t="s">
        <v>2912</v>
      </c>
      <c r="C1" s="1" t="s">
        <v>2913</v>
      </c>
      <c r="D1" s="1" t="s">
        <v>2914</v>
      </c>
      <c r="E1" s="1" t="s">
        <v>2915</v>
      </c>
    </row>
    <row r="2" customFormat="false" ht="18.75" hidden="false" customHeight="true" outlineLevel="0" collapsed="false">
      <c r="A2" s="4" t="s">
        <v>2916</v>
      </c>
      <c r="B2" s="10" t="n">
        <v>1</v>
      </c>
      <c r="C2" s="4" t="s">
        <v>102</v>
      </c>
      <c r="D2" s="4" t="s">
        <v>2868</v>
      </c>
      <c r="E2" s="4" t="s">
        <v>2917</v>
      </c>
    </row>
    <row r="3" customFormat="false" ht="18.75" hidden="false" customHeight="true" outlineLevel="0" collapsed="false">
      <c r="A3" s="7" t="s">
        <v>2918</v>
      </c>
      <c r="B3" s="12" t="n">
        <v>2</v>
      </c>
      <c r="C3" s="7" t="s">
        <v>2919</v>
      </c>
      <c r="D3" s="7" t="s">
        <v>83</v>
      </c>
      <c r="E3" s="7" t="s">
        <v>2920</v>
      </c>
    </row>
    <row r="4" customFormat="false" ht="18.75" hidden="false" customHeight="true" outlineLevel="0" collapsed="false">
      <c r="A4" s="4" t="s">
        <v>2921</v>
      </c>
      <c r="B4" s="10" t="n">
        <v>0.18</v>
      </c>
      <c r="C4" s="4" t="s">
        <v>2922</v>
      </c>
      <c r="D4" s="4" t="s">
        <v>2870</v>
      </c>
      <c r="E4" s="4" t="s">
        <v>2923</v>
      </c>
    </row>
    <row r="5" customFormat="false" ht="18.75" hidden="false" customHeight="true" outlineLevel="0" collapsed="false">
      <c r="A5" s="7" t="s">
        <v>2924</v>
      </c>
      <c r="B5" s="12" t="n">
        <v>42</v>
      </c>
      <c r="C5" s="7" t="s">
        <v>2925</v>
      </c>
      <c r="D5" s="7" t="s">
        <v>2926</v>
      </c>
      <c r="E5" s="7" t="s">
        <v>2927</v>
      </c>
    </row>
    <row r="6" customFormat="false" ht="18.75" hidden="false" customHeight="true" outlineLevel="0" collapsed="false">
      <c r="A6" s="4" t="s">
        <v>2928</v>
      </c>
      <c r="B6" s="10" t="n">
        <v>10000</v>
      </c>
      <c r="C6" s="4" t="s">
        <v>2693</v>
      </c>
      <c r="D6" s="4" t="s">
        <v>2929</v>
      </c>
      <c r="E6" s="4" t="s">
        <v>2930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38"/>
  </cols>
  <sheetData>
    <row r="1" customFormat="false" ht="24" hidden="false" customHeight="true" outlineLevel="0" collapsed="false">
      <c r="A1" s="1" t="s">
        <v>2931</v>
      </c>
      <c r="B1" s="1" t="s">
        <v>2932</v>
      </c>
      <c r="C1" s="1" t="s">
        <v>2933</v>
      </c>
      <c r="D1" s="1" t="s">
        <v>2934</v>
      </c>
      <c r="E1" s="2" t="s">
        <v>2935</v>
      </c>
      <c r="F1" s="1" t="s">
        <v>2936</v>
      </c>
      <c r="G1" s="1" t="s">
        <v>2937</v>
      </c>
    </row>
    <row r="2" customFormat="false" ht="18.75" hidden="false" customHeight="true" outlineLevel="0" collapsed="false">
      <c r="A2" s="4" t="s">
        <v>2938</v>
      </c>
      <c r="B2" s="4" t="s">
        <v>2939</v>
      </c>
      <c r="C2" s="4" t="s">
        <v>2940</v>
      </c>
      <c r="D2" s="4" t="s">
        <v>2941</v>
      </c>
      <c r="E2" s="18" t="s">
        <v>2942</v>
      </c>
      <c r="F2" s="4" t="s">
        <v>2943</v>
      </c>
      <c r="G2" s="4" t="s">
        <v>2944</v>
      </c>
    </row>
    <row r="3" customFormat="false" ht="18.75" hidden="false" customHeight="true" outlineLevel="0" collapsed="false">
      <c r="A3" s="7" t="s">
        <v>2938</v>
      </c>
      <c r="B3" s="7" t="s">
        <v>2945</v>
      </c>
      <c r="C3" s="7" t="s">
        <v>2940</v>
      </c>
      <c r="D3" s="7" t="s">
        <v>2946</v>
      </c>
      <c r="E3" s="19" t="s">
        <v>2942</v>
      </c>
      <c r="F3" s="7" t="s">
        <v>2943</v>
      </c>
      <c r="G3" s="7" t="s">
        <v>2947</v>
      </c>
    </row>
    <row r="4" customFormat="false" ht="18.75" hidden="false" customHeight="true" outlineLevel="0" collapsed="false">
      <c r="A4" s="4" t="s">
        <v>2938</v>
      </c>
      <c r="B4" s="4" t="s">
        <v>2948</v>
      </c>
      <c r="C4" s="4" t="s">
        <v>2949</v>
      </c>
      <c r="D4" s="4" t="s">
        <v>2950</v>
      </c>
      <c r="E4" s="18" t="s">
        <v>2942</v>
      </c>
      <c r="F4" s="4" t="s">
        <v>2943</v>
      </c>
      <c r="G4" s="4" t="s">
        <v>2951</v>
      </c>
    </row>
    <row r="5" customFormat="false" ht="18.75" hidden="false" customHeight="true" outlineLevel="0" collapsed="false">
      <c r="A5" s="7" t="s">
        <v>2938</v>
      </c>
      <c r="B5" s="7" t="s">
        <v>2952</v>
      </c>
      <c r="C5" s="7" t="s">
        <v>2953</v>
      </c>
      <c r="D5" s="7" t="s">
        <v>2954</v>
      </c>
      <c r="E5" s="19" t="s">
        <v>2942</v>
      </c>
      <c r="F5" s="7" t="s">
        <v>2943</v>
      </c>
      <c r="G5" s="7" t="s">
        <v>2955</v>
      </c>
    </row>
    <row r="6" customFormat="false" ht="18.75" hidden="false" customHeight="true" outlineLevel="0" collapsed="false">
      <c r="A6" s="4" t="s">
        <v>2938</v>
      </c>
      <c r="B6" s="4" t="s">
        <v>2956</v>
      </c>
      <c r="C6" s="4" t="s">
        <v>2953</v>
      </c>
      <c r="D6" s="4" t="s">
        <v>2954</v>
      </c>
      <c r="E6" s="18" t="s">
        <v>2942</v>
      </c>
      <c r="F6" s="4" t="s">
        <v>2943</v>
      </c>
      <c r="G6" s="4" t="s">
        <v>2957</v>
      </c>
    </row>
    <row r="7" customFormat="false" ht="18.75" hidden="false" customHeight="true" outlineLevel="0" collapsed="false">
      <c r="A7" s="7" t="s">
        <v>2958</v>
      </c>
      <c r="B7" s="7" t="s">
        <v>2959</v>
      </c>
      <c r="C7" s="7" t="s">
        <v>2940</v>
      </c>
      <c r="D7" s="7" t="s">
        <v>2941</v>
      </c>
      <c r="E7" s="19" t="s">
        <v>2942</v>
      </c>
      <c r="F7" s="7" t="s">
        <v>2960</v>
      </c>
      <c r="G7" s="7" t="s">
        <v>2961</v>
      </c>
    </row>
    <row r="8" customFormat="false" ht="18.75" hidden="false" customHeight="true" outlineLevel="0" collapsed="false">
      <c r="A8" s="4" t="s">
        <v>2958</v>
      </c>
      <c r="B8" s="4" t="s">
        <v>2962</v>
      </c>
      <c r="C8" s="4" t="s">
        <v>2953</v>
      </c>
      <c r="D8" s="4" t="s">
        <v>2963</v>
      </c>
      <c r="E8" s="18" t="s">
        <v>2942</v>
      </c>
      <c r="F8" s="4" t="s">
        <v>2960</v>
      </c>
      <c r="G8" s="4" t="s">
        <v>2964</v>
      </c>
    </row>
    <row r="9" customFormat="false" ht="18.75" hidden="false" customHeight="true" outlineLevel="0" collapsed="false">
      <c r="A9" s="7" t="s">
        <v>2958</v>
      </c>
      <c r="B9" s="7" t="s">
        <v>2965</v>
      </c>
      <c r="C9" s="7" t="s">
        <v>2966</v>
      </c>
      <c r="D9" s="7" t="s">
        <v>2967</v>
      </c>
      <c r="E9" s="19" t="s">
        <v>2942</v>
      </c>
      <c r="F9" s="7" t="s">
        <v>2960</v>
      </c>
      <c r="G9" s="7" t="s">
        <v>2968</v>
      </c>
    </row>
    <row r="10" customFormat="false" ht="18.75" hidden="false" customHeight="true" outlineLevel="0" collapsed="false">
      <c r="A10" s="4" t="s">
        <v>2969</v>
      </c>
      <c r="B10" s="4" t="s">
        <v>2970</v>
      </c>
      <c r="C10" s="4" t="s">
        <v>2940</v>
      </c>
      <c r="D10" s="4" t="s">
        <v>2941</v>
      </c>
      <c r="E10" s="18" t="s">
        <v>2942</v>
      </c>
      <c r="F10" s="4" t="s">
        <v>2971</v>
      </c>
      <c r="G10" s="4" t="s">
        <v>2972</v>
      </c>
    </row>
    <row r="11" customFormat="false" ht="18.75" hidden="false" customHeight="true" outlineLevel="0" collapsed="false">
      <c r="A11" s="7" t="s">
        <v>2969</v>
      </c>
      <c r="B11" s="7" t="s">
        <v>2973</v>
      </c>
      <c r="C11" s="7" t="s">
        <v>2953</v>
      </c>
      <c r="D11" s="7" t="s">
        <v>2963</v>
      </c>
      <c r="E11" s="19" t="s">
        <v>2942</v>
      </c>
      <c r="F11" s="7" t="s">
        <v>2971</v>
      </c>
      <c r="G11" s="7" t="s">
        <v>2974</v>
      </c>
    </row>
    <row r="12" customFormat="false" ht="18.75" hidden="false" customHeight="true" outlineLevel="0" collapsed="false">
      <c r="A12" s="4" t="s">
        <v>2975</v>
      </c>
      <c r="B12" s="4" t="s">
        <v>2976</v>
      </c>
      <c r="C12" s="4" t="s">
        <v>2940</v>
      </c>
      <c r="D12" s="4" t="s">
        <v>2941</v>
      </c>
      <c r="E12" s="18" t="s">
        <v>2942</v>
      </c>
      <c r="F12" s="4" t="s">
        <v>2977</v>
      </c>
      <c r="G12" s="4" t="s">
        <v>2978</v>
      </c>
    </row>
    <row r="13" customFormat="false" ht="18.75" hidden="false" customHeight="true" outlineLevel="0" collapsed="false">
      <c r="A13" s="7" t="s">
        <v>2979</v>
      </c>
      <c r="B13" s="7" t="s">
        <v>2980</v>
      </c>
      <c r="C13" s="7" t="s">
        <v>2953</v>
      </c>
      <c r="D13" s="7" t="s">
        <v>2963</v>
      </c>
      <c r="E13" s="19" t="s">
        <v>2942</v>
      </c>
      <c r="F13" s="7" t="s">
        <v>2981</v>
      </c>
      <c r="G13" s="7" t="s">
        <v>2982</v>
      </c>
    </row>
    <row r="14" customFormat="false" ht="18.75" hidden="false" customHeight="true" outlineLevel="0" collapsed="false">
      <c r="A14" s="4" t="s">
        <v>2983</v>
      </c>
      <c r="B14" s="4" t="s">
        <v>2984</v>
      </c>
      <c r="C14" s="4" t="s">
        <v>2953</v>
      </c>
      <c r="D14" s="4" t="s">
        <v>2985</v>
      </c>
      <c r="E14" s="18" t="s">
        <v>2942</v>
      </c>
      <c r="F14" s="4" t="s">
        <v>2981</v>
      </c>
      <c r="G14" s="4" t="s">
        <v>2986</v>
      </c>
    </row>
    <row r="15" customFormat="false" ht="18.75" hidden="false" customHeight="true" outlineLevel="0" collapsed="false">
      <c r="A15" s="7" t="s">
        <v>2983</v>
      </c>
      <c r="B15" s="7" t="s">
        <v>2987</v>
      </c>
      <c r="C15" s="7" t="s">
        <v>2953</v>
      </c>
      <c r="D15" s="7" t="s">
        <v>2985</v>
      </c>
      <c r="E15" s="19" t="s">
        <v>2942</v>
      </c>
      <c r="F15" s="7" t="s">
        <v>2981</v>
      </c>
      <c r="G15" s="7" t="s">
        <v>2988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2026-10-29T18:29:17Z</dcterms:created>
  <dc:creator>openpyxl</dc:creator>
  <dc:description/>
  <dc:language>en-US</dc:language>
  <cp:lastModifiedBy/>
  <dcterms:modified xsi:type="dcterms:W3CDTF">2026-10-29T18:29:19Z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